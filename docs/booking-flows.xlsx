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lows" sheetId="2" state="visible" r:id="rId4"/>
    <sheet name="Features" sheetId="3" state="visible" r:id="rId5"/>
    <sheet name="Schema" sheetId="4" state="visible" r:id="rId6"/>
    <sheet name="Permissions" sheetId="5" state="visible" r:id="rId7"/>
    <sheet name="Insert audit" sheetId="6" state="visible" r:id="rId8"/>
  </sheets>
  <definedNames>
    <definedName function="false" hidden="true" localSheetId="2" name="_xlnm._FilterDatabase" vbProcedure="false">Features!$A$1:$F$32</definedName>
    <definedName function="false" hidden="true" localSheetId="1" name="_xlnm._FilterDatabase" vbProcedure="false">Flows!$A$1:$L$51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<sst xmlns="http://schemas.openxmlformats.org/spreadsheetml/2006/main" count="990" uniqueCount="597">
  <si>
    <t xml:space="preserve">Booking system: flows &amp; features</t>
  </si>
  <si>
    <t xml:space="preserve">How to use</t>
  </si>
  <si>
    <t xml:space="preserve">Flows: one row per task to build. Work through it by Phase (1 -&gt; 4).</t>
  </si>
  <si>
    <t xml:space="preserve">Features: every requirement we agreed, with the flows that cover it.</t>
  </si>
  <si>
    <t xml:space="preserve">Edit only the yellow cells: Status (dropdown) and Notes.</t>
  </si>
  <si>
    <t xml:space="preserve">Status values: To do, In progress, Done, Blocked. Progress below updates itself.</t>
  </si>
  <si>
    <t xml:space="preserve">Schema, Permissions and Insert audit tabs are reference, not tasks.</t>
  </si>
  <si>
    <t xml:space="preserve">Status cell looks like this:</t>
  </si>
  <si>
    <t xml:space="preserve">To do</t>
  </si>
  <si>
    <t xml:space="preserve">Progress by area</t>
  </si>
  <si>
    <t xml:space="preserve">Area</t>
  </si>
  <si>
    <t xml:space="preserve">Tasks</t>
  </si>
  <si>
    <t xml:space="preserve">Done</t>
  </si>
  <si>
    <t xml:space="preserve">In progress</t>
  </si>
  <si>
    <t xml:space="preserve">% done</t>
  </si>
  <si>
    <t xml:space="preserve">Foundation</t>
  </si>
  <si>
    <t xml:space="preserve">Owner setup</t>
  </si>
  <si>
    <t xml:space="preserve">Barber setup</t>
  </si>
  <si>
    <t xml:space="preserve">Shifts &amp; availability</t>
  </si>
  <si>
    <t xml:space="preserve">Customer booking</t>
  </si>
  <si>
    <t xml:space="preserve">Barber appointments</t>
  </si>
  <si>
    <t xml:space="preserve">Emergency</t>
  </si>
  <si>
    <t xml:space="preserve">Payments</t>
  </si>
  <si>
    <t xml:space="preserve">In-store sales</t>
  </si>
  <si>
    <t xml:space="preserve">Accounting</t>
  </si>
  <si>
    <t xml:space="preserve">Rent</t>
  </si>
  <si>
    <t xml:space="preserve">Scheduled jobs</t>
  </si>
  <si>
    <t xml:space="preserve">Notifications</t>
  </si>
  <si>
    <t xml:space="preserve">All flows</t>
  </si>
  <si>
    <t xml:space="preserve">Features</t>
  </si>
  <si>
    <t xml:space="preserve">ID</t>
  </si>
  <si>
    <t xml:space="preserve">Phase</t>
  </si>
  <si>
    <t xml:space="preserve">Flow / task</t>
  </si>
  <si>
    <t xml:space="preserve">Actor</t>
  </si>
  <si>
    <t xml:space="preserve">Trigger</t>
  </si>
  <si>
    <t xml:space="preserve">How it flows</t>
  </si>
  <si>
    <t xml:space="preserve">Tables touched</t>
  </si>
  <si>
    <t xml:space="preserve">Rules &amp; edge cases</t>
  </si>
  <si>
    <t xml:space="preserve">Depends on</t>
  </si>
  <si>
    <t xml:space="preserve">Status</t>
  </si>
  <si>
    <t xml:space="preserve">Notes</t>
  </si>
  <si>
    <t xml:space="preserve">FND-01</t>
  </si>
  <si>
    <t xml:space="preserve">1 - Foundation</t>
  </si>
  <si>
    <t xml:space="preserve">Write schema + migration</t>
  </si>
  <si>
    <t xml:space="preserve">Dev</t>
  </si>
  <si>
    <t xml:space="preserve">Start of build</t>
  </si>
  <si>
    <t xml:space="preserve">1. Add enums: payment_method, appointment_source, appointment_status, appointment_event_kind, appointment_payment_kind, rent_period, rent_status, rent_paid_via, barber_ledger_kind.
2. Create tables: locations, barbers, services, barber_shifts, barber_terms, rent_charges, appointments, appointment_services, appointment_events, appointment_payments, in_store_sales, barber_ledger.
3. NO changes to existing tables, columns or enums: in-store sales are marked by the in_store_sales side table; barber access comes from barbers.user_id, not user_role. Rollback: drizzle/rollback/0006_booking.down.sql.
4. Hand-written SQL: CREATE EXTENSION btree_gist; no-overlap EXCLUDE constraints on barber_shifts and appointments; CHECK constraints, including: a booked / completed / no_show appointment must have confirmed_at, and an online booking must have booking_fee &gt; 0.</t>
  </si>
  <si>
    <t xml:space="preserve">All</t>
  </si>
  <si>
    <t xml:space="preserve">Verify PGlite (local dev) can load btree_gist before relying on it. Existing orders get channel = 'online' and satisfy the new CHECK, so no existing data changes.</t>
  </si>
  <si>
    <t xml:space="preserve">-</t>
  </si>
  <si>
    <t xml:space="preserve">FND-02</t>
  </si>
  <si>
    <t xml:space="preserve">Barber role &amp; login</t>
  </si>
  <si>
    <t xml:space="preserve">Barber</t>
  </si>
  <si>
    <t xml:space="preserve">Barber opens /admin/login</t>
  </si>
  <si>
    <t xml:space="preserve">1. Barber enters email -&gt; same email-OTP flow the owner uses.
2. The admin lookup becomes a staff lookup: role admin, OR a user linked from an active barbers row.
3. Session carries role + linked barber_id.
4. Admin layout shows only the barber menu for role barber.</t>
  </si>
  <si>
    <t xml:space="preserve">users, barbers, sessions, otp_codes</t>
  </si>
  <si>
    <t xml:space="preserve">A barber login with no linked barbers row sees 'ask the owner to link your profile'. Role is re-checked at code verification, as it is for admins today.</t>
  </si>
  <si>
    <t xml:space="preserve">FND-03</t>
  </si>
  <si>
    <t xml:space="preserve">Permission guards</t>
  </si>
  <si>
    <t xml:space="preserve">Every server function</t>
  </si>
  <si>
    <t xml:space="preserve">1. requireOwner() on owner-only functions: products, stock, prices, settings, locations, terms, rent, payouts, adjustments.
2. requireStaff() returns { userId, role, barberId }.
3. Barber functions always filter by the session's barberId; a barber_id sent from the browser is never trusted.</t>
  </si>
  <si>
    <t xml:space="preserve">Test: barber A cannot read or change barber B's appointments, services, shifts or ledger by guessing ids.</t>
  </si>
  <si>
    <t xml:space="preserve">OWN-01</t>
  </si>
  <si>
    <t xml:space="preserve">Manage locations</t>
  </si>
  <si>
    <t xml:space="preserve">Owner</t>
  </si>
  <si>
    <t xml:space="preserve">New branch / change</t>
  </si>
  <si>
    <t xml:space="preserve">1. Create: slug, names MN/EN, address, phone, map link.
2. Edit any field.
3. Deactivate (is_active = false) instead of deleting.</t>
  </si>
  <si>
    <t xml:space="preserve">locations</t>
  </si>
  <si>
    <t xml:space="preserve">Deactivated locations disappear from online booking; existing appointments there stay valid. Delete is blocked while any appointment references it.</t>
  </si>
  <si>
    <t xml:space="preserve">OWN-02</t>
  </si>
  <si>
    <t xml:space="preserve">Create barber &amp; grant login</t>
  </si>
  <si>
    <t xml:space="preserve">New barber joins</t>
  </si>
  <si>
    <t xml:space="preserve">1. Create barbers row: name, slug, phone (required), photo, bio, booking fee, buffer.
2. Grant login: create or promote a users row with role barber and link barbers.user_id.
3. Set their terms (OWN-03).</t>
  </si>
  <si>
    <t xml:space="preserve">barbers, users, barber_terms</t>
  </si>
  <si>
    <t xml:space="preserve">Phone is required: customers see it on every confirmation. A barber can exist without a login; the owner then manages them.</t>
  </si>
  <si>
    <t xml:space="preserve">OWN-03</t>
  </si>
  <si>
    <t xml:space="preserve">3 - Money</t>
  </si>
  <si>
    <t xml:space="preserve">Set / change barber terms</t>
  </si>
  <si>
    <t xml:space="preserve">Owner (agreed with barber)</t>
  </si>
  <si>
    <t xml:space="preserve">Deal agreed or changed</t>
  </si>
  <si>
    <t xml:space="preserve">1. Enter service cut %, product commission %, rent amount, rent period, rent start date, effective-from date.
2. Saved as a NEW row; the old row is never edited.
3. Ledger rows and rent charges created after effective-from use the new terms.</t>
  </si>
  <si>
    <t xml:space="preserve">barber_terms</t>
  </si>
  <si>
    <t xml:space="preserve">Percentages stored as basis points 0-10000 (3000 = 30%). Barbers can view their terms but never edit them.</t>
  </si>
  <si>
    <t xml:space="preserve">OWN-04</t>
  </si>
  <si>
    <t xml:space="preserve">4 - Extras</t>
  </si>
  <si>
    <t xml:space="preserve">Deactivate barber</t>
  </si>
  <si>
    <t xml:space="preserve">Barber leaves</t>
  </si>
  <si>
    <t xml:space="preserve">1. Set is_active = false; hidden from online booking.
2. Revoke login (unlink barbers.user_id, sessions deleted).
3. Owner sees their future appointments to reassign or cancel by phone.</t>
  </si>
  <si>
    <t xml:space="preserve">barbers, users, sessions, appointments</t>
  </si>
  <si>
    <t xml:space="preserve">A barber with history can't be deleted (restrict FKs). Ledger balance and unpaid rent stay visible until settled.</t>
  </si>
  <si>
    <t xml:space="preserve">OWN-05</t>
  </si>
  <si>
    <t xml:space="preserve">2 - Booking core</t>
  </si>
  <si>
    <t xml:space="preserve">Owner who also cuts hair</t>
  </si>
  <si>
    <t xml:space="preserve">1. Link the owner's admin user to a barbers row.
2. They get owner screens plus their own barber screens.</t>
  </si>
  <si>
    <t xml:space="preserve">users, barbers</t>
  </si>
  <si>
    <t xml:space="preserve">Role stays admin; barber scoping comes from the linked barber_id, not the role.</t>
  </si>
  <si>
    <t xml:space="preserve">BAR-01</t>
  </si>
  <si>
    <t xml:space="preserve">Edit own profile</t>
  </si>
  <si>
    <t xml:space="preserve">Anytime</t>
  </si>
  <si>
    <t xml:space="preserve">1. Edit name, bio, photo, phone, booking fee, buffer minutes.</t>
  </si>
  <si>
    <t xml:space="preserve">barbers</t>
  </si>
  <si>
    <t xml:space="preserve">Fee and buffer changes apply to NEW bookings only; existing appointments keep their frozen values. Fee 0 = no online booking; customers see 'Call to book'.</t>
  </si>
  <si>
    <t xml:space="preserve">BAR-02</t>
  </si>
  <si>
    <t xml:space="preserve">Create a service</t>
  </si>
  <si>
    <t xml:space="preserve">1. Pick a location.
2. Enter name EN (required), name MN (optional), description, price, duration.
3. Save -&gt; bookable wherever the barber has shifts at that location.</t>
  </si>
  <si>
    <t xml:space="preserve">services</t>
  </si>
  <si>
    <t xml:space="preserve">The same service at another branch is a new row with its own price ('copy to another location' helper). Duration &gt; 0, price &gt;= 0. The barber decides everything; the owner doesn't define service types.</t>
  </si>
  <si>
    <t xml:space="preserve">BAR-03</t>
  </si>
  <si>
    <t xml:space="preserve">Edit / deactivate a service</t>
  </si>
  <si>
    <t xml:space="preserve">Price or offer changes</t>
  </si>
  <si>
    <t xml:space="preserve">1. Change price, duration or name, or set inactive.</t>
  </si>
  <si>
    <t xml:space="preserve">Past and upcoming appointments keep their frozen name, price and duration. Inactive services only disappear from new bookings.</t>
  </si>
  <si>
    <t xml:space="preserve">SHF-01</t>
  </si>
  <si>
    <t xml:space="preserve">Plan shifts</t>
  </si>
  <si>
    <t xml:space="preserve">Whenever they like</t>
  </si>
  <si>
    <t xml:space="preserve">1. Add a shift: location, date, from-to. Any day, any hours, no fixed weekly pattern.
2. Several shifts a day are fine (morning at A, afternoon at B).
3. Online booking opens inside these windows only.</t>
  </si>
  <si>
    <t xml:space="preserve">barber_shifts</t>
  </si>
  <si>
    <t xml:space="preserve">The database refuses overlapping shifts for the same barber (they can't be in two places at once). ends_at must be after starts_at.</t>
  </si>
  <si>
    <t xml:space="preserve">SHF-02</t>
  </si>
  <si>
    <t xml:space="preserve">Copy / repeat shifts</t>
  </si>
  <si>
    <t xml:space="preserve">Planning ahead</t>
  </si>
  <si>
    <t xml:space="preserve">1. 'Copy last week' or 'repeat this shift for N weeks'.
2. Creates ordinary shift rows, each editable on its own.</t>
  </si>
  <si>
    <t xml:space="preserve">Copies that would overlap existing shifts are skipped and listed, not failed as a batch.</t>
  </si>
  <si>
    <t xml:space="preserve">SHF-03</t>
  </si>
  <si>
    <t xml:space="preserve">Edit / remove a shift that has bookings</t>
  </si>
  <si>
    <t xml:space="preserve">Plans change</t>
  </si>
  <si>
    <t xml:space="preserve">1. Shorten or delete the shift.
2. Bookings inside it are NOT cancelled; they simply become outside-schedule (overtime) bookings.
3. UI warns: 'N bookings are now outside your schedule'.</t>
  </si>
  <si>
    <t xml:space="preserve">barber_shifts, appointments</t>
  </si>
  <si>
    <t xml:space="preserve">Appointments never point at shifts, so nothing needs cleaning up.</t>
  </si>
  <si>
    <t xml:space="preserve">SHF-04</t>
  </si>
  <si>
    <t xml:space="preserve">Availability (free slots)</t>
  </si>
  <si>
    <t xml:space="preserve">System</t>
  </si>
  <si>
    <t xml:space="preserve">Customer opens booking</t>
  </si>
  <si>
    <t xml:space="preserve">1. Take the barber's shifts at that location for the day.
2. Subtract every active appointment's [starts_at, blocked_until) at ANY location.
3. Offer start times (15-min grid) where total service duration + buffer fits entirely inside what's left of a shift.</t>
  </si>
  <si>
    <t xml:space="preserve">barber_shifts, appointments, services, barbers</t>
  </si>
  <si>
    <t xml:space="preserve">Computed live, never stored. So: a booking inside a shift automatically takes those slots; an overtime booking outside the shift takes nothing from it; if a shift is later extended over an overtime booking, that time just shows as taken. Active = not cancelled; pending holds count, so nobody can take a slot someone else is paying for.</t>
  </si>
  <si>
    <t xml:space="preserve">CUS-01</t>
  </si>
  <si>
    <t xml:space="preserve">Browse &amp; pick</t>
  </si>
  <si>
    <t xml:space="preserve">Customer</t>
  </si>
  <si>
    <t xml:space="preserve">Opens booking page</t>
  </si>
  <si>
    <t xml:space="preserve">1. Pick location.
2. See barbers with active services and upcoming shifts there.
3. Pick barber -&gt; their services at that location (one or more).
4. Pick day -&gt; available start times (SHF-04).
5. A barber with no booking fee shows 'Call to book' + their phone instead of times.</t>
  </si>
  <si>
    <t xml:space="preserve">(read only)</t>
  </si>
  <si>
    <t xml:space="preserve">Browsing never writes anything. Online booking always needs a fee, so a no-fee barber is phone-only. Services from different locations can't be combined.</t>
  </si>
  <si>
    <t xml:space="preserve">CUS-02</t>
  </si>
  <si>
    <t xml:space="preserve">Hold the slot while the customer pays</t>
  </si>
  <si>
    <t xml:space="preserve">Picks a time and presses Pay</t>
  </si>
  <si>
    <t xml:space="preserve">1. Enter name, phone and email (all required online), note.
2. Server re-checks availability; prices come from services; fee = min(barber fee, total).
3. ONE transaction: insert a HOLD (appointment status pending + its lines, expires_at = invoice lifetime) and a pending fee payment row; create the QPay invoice.
4. Nothing else is written: no event, no email, no ledger, no attempts log.</t>
  </si>
  <si>
    <t xml:space="preserve">appointments (pending), appointment_services, appointment_payments (pending)</t>
  </si>
  <si>
    <t xml:space="preserve">The hold is the ONLY thing written before money, and only because two customers must never pay for the same slot: the overlap constraint needs a row to check against. It is temporary: an unpaid hold is DELETED (CUS-05), never archived. Abuse limit: one active hold per phone, a few per IP, counted from live holds.</t>
  </si>
  <si>
    <t xml:space="preserve">CUS-03</t>
  </si>
  <si>
    <t xml:space="preserve">Fee paid -&gt; booking exists</t>
  </si>
  <si>
    <t xml:space="preserve">QPay confirms the fee</t>
  </si>
  <si>
    <t xml:space="preserve">1. Callback or polling confirms payment.
2. ONE transaction: payment paid, hold becomes booked, confirmed_at, event 'created', ledger rows (ACC-01).
3. After commit: confirmation email (NTF-02).</t>
  </si>
  <si>
    <t xml:space="preserve">appointment_payments, appointments, appointment_events, barber_ledger</t>
  </si>
  <si>
    <t xml:space="preserve">This is the moment the booking really exists: every durable record is written here, behind the money. A paid fee is the only way an online booking is confirmed. Duplicate callbacks / sweep race can't double-confirm or double-email (fee-paid-once index, confirmation_sent_at). No refunds, ever.</t>
  </si>
  <si>
    <t xml:space="preserve">CUS-04</t>
  </si>
  <si>
    <t xml:space="preserve">Booking status page</t>
  </si>
  <si>
    <t xml:space="preserve">After CUS-02</t>
  </si>
  <si>
    <t xml:space="preserve">1. Page via access-token link, showing the current state:
   - holding: 'Pay the booking fee to confirm' + QPay links, countdown.
   - confirmed: date/time, location + map, barber name + PHONE, services, total, fee paid, due at the shop, 'call your barber to reschedule or cancel'.
   - hold gone: 'This time wasn't booked' + barber phone.</t>
  </si>
  <si>
    <t xml:space="preserve">Only says 'Confirmed' when status is booked. A deleted hold simply reads as 'not booked'. Customers can't cancel or reschedule online. Access token stored hashed.</t>
  </si>
  <si>
    <t xml:space="preserve">CUS-05</t>
  </si>
  <si>
    <t xml:space="preserve">Unpaid hold is deleted</t>
  </si>
  <si>
    <t xml:space="preserve">Scheduled sweep</t>
  </si>
  <si>
    <t xml:space="preserve">1. For each hold past expires_at: ask QPay one last time whether the fee was paid.
2. Paid -&gt; run CUS-03 (booked + email).
3. Not paid -&gt; cancel the invoice at QPay; once QPay confirms the cancel, DELETE the pending payment row and the hold (its lines go with it).</t>
  </si>
  <si>
    <t xml:space="preserve">appointments, appointment_services, appointment_payments</t>
  </si>
  <si>
    <t xml:space="preserve">Delete only after QPay confirms the cancel, so a payment can never land with nothing to match it; if the cancel fails, keep the hold and retry next sweep. Unpaid attempts leave no trace. The old 'fee paid after expiry' edge case is gone: the invoice is dead before the hold is.</t>
  </si>
  <si>
    <t xml:space="preserve">CUS-03, JOB-01</t>
  </si>
  <si>
    <t xml:space="preserve">CUS-06</t>
  </si>
  <si>
    <t xml:space="preserve">Customer wants to change or cancel</t>
  </si>
  <si>
    <t xml:space="preserve">Customer -&gt; Barber</t>
  </si>
  <si>
    <t xml:space="preserve">Customer calls</t>
  </si>
  <si>
    <t xml:space="preserve">1. Customer calls the barber's number from the confirmation.
2. Barber does APT-03 (reschedule) or APT-05 (cancel).</t>
  </si>
  <si>
    <t xml:space="preserve">No customer self-service; only the barber changes bookings.</t>
  </si>
  <si>
    <t xml:space="preserve">APT-01</t>
  </si>
  <si>
    <t xml:space="preserve">Barber's calendar</t>
  </si>
  <si>
    <t xml:space="preserve">Daily use</t>
  </si>
  <si>
    <t xml:space="preserve">1. Day / week view across all their locations.
2. Shifts as background, appointments on top, overtime bookings marked, needs-reschedule items highlighted.
3. Open an appointment -&gt; customer name + phone, services, fee paid, balance due, history.</t>
  </si>
  <si>
    <t xml:space="preserve">appointments, barber_shifts, appointment_events</t>
  </si>
  <si>
    <t xml:space="preserve">Overtime = an appointment not fully inside any shift; computed for display, never stored.</t>
  </si>
  <si>
    <t xml:space="preserve">APT-02</t>
  </si>
  <si>
    <t xml:space="preserve">Barber creates phone / in-person booking</t>
  </si>
  <si>
    <t xml:space="preserve">Customer calls or is at the shop</t>
  </si>
  <si>
    <t xml:space="preserve">1. Pick location, services (their own at that location), date and time: ANY time, inside or outside shifts.
2. Enter customer name + phone (email optional).
3. Saved as source barber, booking_fee 0, status booked, confirmed_via = barber, confirmed_by = barber, no hold, event 'created'.
4. If an email was given, send the confirmation email (NTF-02).</t>
  </si>
  <si>
    <t xml:space="preserve">appointments, appointment_services, appointment_events</t>
  </si>
  <si>
    <t xml:space="preserve">Creating it IS the barber's confirmation, so it's confirmed immediately. The one booking insert with no money in front of it, on purpose: a logged-in barber vouches for the customer. Inside a shift -&gt; it automatically takes those online slots (SHF-04). Outside -&gt; overtime, the planned schedule is untouched. Only overlap with the barber's own bookings is refused. Full price is paid at the shop.</t>
  </si>
  <si>
    <t xml:space="preserve">APT-03</t>
  </si>
  <si>
    <t xml:space="preserve">Reschedule</t>
  </si>
  <si>
    <t xml:space="preserve">Barber (only)</t>
  </si>
  <si>
    <t xml:space="preserve">Customer asked or barber needs to</t>
  </si>
  <si>
    <t xml:space="preserve">1. Pick a new date/time: any time, shifts optional; a different location only if the same services exist there (lines remapped).
2. Update starts_at, ends_at, blocked_until on the SAME row (buffer from the appointment's frozen value).
3. Event 'rescheduled' with from -&gt; to.
4. Clear needs_reschedule_at if set.
5. Email the customer if there's an email.</t>
  </si>
  <si>
    <t xml:space="preserve">appointments, appointment_events, appointment_services</t>
  </si>
  <si>
    <t xml:space="preserve">The booking fee carries over automatically (same row, same payments). Overlap is still enforced.</t>
  </si>
  <si>
    <t xml:space="preserve">APT-04</t>
  </si>
  <si>
    <t xml:space="preserve">Change services on an appointment</t>
  </si>
  <si>
    <t xml:space="preserve">Customer adds / drops a service</t>
  </si>
  <si>
    <t xml:space="preserve">1. Add or remove lines (barber's services at that location).
2. Recompute total, ends_at, blocked_until.
3. Event 'updated'.</t>
  </si>
  <si>
    <t xml:space="preserve">appointment_services, appointments</t>
  </si>
  <si>
    <t xml:space="preserve">booking_fee must stay &lt;= total. Overlap re-checked if it gets longer. Not allowed once completed.</t>
  </si>
  <si>
    <t xml:space="preserve">APT-05</t>
  </si>
  <si>
    <t xml:space="preserve">Cancel</t>
  </si>
  <si>
    <t xml:space="preserve">Customer asked; barber confirms</t>
  </si>
  <si>
    <t xml:space="preserve">1. Status cancelled, reason note, event 'cancelled'.
2. Slot frees.</t>
  </si>
  <si>
    <t xml:space="preserve">appointments, appointment_events</t>
  </si>
  <si>
    <t xml:space="preserve">Booking fee is kept; no refunds. Customers can't cancel themselves.</t>
  </si>
  <si>
    <t xml:space="preserve">APT-06</t>
  </si>
  <si>
    <t xml:space="preserve">No-show</t>
  </si>
  <si>
    <t xml:space="preserve">Customer never came</t>
  </si>
  <si>
    <t xml:space="preserve">1. Mark no_show, event.</t>
  </si>
  <si>
    <t xml:space="preserve">Fee kept. Only possible after starts_at.</t>
  </si>
  <si>
    <t xml:space="preserve">APT-07</t>
  </si>
  <si>
    <t xml:space="preserve">Checkout &amp; complete</t>
  </si>
  <si>
    <t xml:space="preserve">Service finished</t>
  </si>
  <si>
    <t xml:space="preserve">1. Screen shows total, fee already paid, and what's left to pay.
2. Add payments in any mix: QPay (QR on the barber's screen), cash, POS, bank transfer.
3. Cash / POS / transfer are saved as paid on entry; QPay waits for confirmation.
4. When paid total = appointment total exactly -&gt; Complete -&gt; completed, event.
5. Ledger rows per payment (ACC-01).</t>
  </si>
  <si>
    <t xml:space="preserve">appointment_payments, appointments, barber_ledger, appointment_events</t>
  </si>
  <si>
    <t xml:space="preserve">Can't complete until balanced, can't overpay. No tips: extra money is the barber's and never entered. A wrong manual entry is fixed by an owner adjustment (ACC-06), not an edit.</t>
  </si>
  <si>
    <t xml:space="preserve">APT-01, ACC-01</t>
  </si>
  <si>
    <t xml:space="preserve">EMG-01</t>
  </si>
  <si>
    <t xml:space="preserve">Emergency: clear a period</t>
  </si>
  <si>
    <t xml:space="preserve">Sick / urgent</t>
  </si>
  <si>
    <t xml:space="preserve">1. Barber picks a period (today, or Tue-Thu).
2. Shifts in that period are removed or shortened -&gt; no new online bookings.
3. Every active appointment in the period gets needs_reschedule_at + event 'flagged'.
4. Appointments keep their original time until handled.</t>
  </si>
  <si>
    <t xml:space="preserve">barber_shifts, appointments, appointment_events</t>
  </si>
  <si>
    <t xml:space="preserve">Nothing is auto-cancelled; every customer is contacted personally. Flagged bookings still hold their old times, so nothing new lands there.</t>
  </si>
  <si>
    <t xml:space="preserve">EMG-02</t>
  </si>
  <si>
    <t xml:space="preserve">Emergency call list</t>
  </si>
  <si>
    <t xml:space="preserve">After EMG-01</t>
  </si>
  <si>
    <t xml:space="preserve">1. List of flagged appointments: customer name, phone (tap to call), email, services, original time, fee paid.
2. For each: call -&gt; agree a new day -&gt; APT-03 (flag cleared, fee carries over), OR customer declines -&gt; APT-05.
3. The list stays until every item is handled.</t>
  </si>
  <si>
    <t xml:space="preserve">Optional button: email all flagged customers a short notice with the barber's phone, for anyone who doesn't pick up.</t>
  </si>
  <si>
    <t xml:space="preserve">PAY-01</t>
  </si>
  <si>
    <t xml:space="preserve">QPay invoice from the admin panel</t>
  </si>
  <si>
    <t xml:space="preserve">Balance or product sale</t>
  </si>
  <si>
    <t xml:space="preserve">1. Create an invoice for the amount -&gt; QR + bank links on the barber's screen.
2. Customer scans with their phone.
3. Polling / callback marks it paid.</t>
  </si>
  <si>
    <t xml:space="preserve">appointment_payments, payments</t>
  </si>
  <si>
    <t xml:space="preserve">Reuses the existing QPay client and its poll throttling (last_checked_at).</t>
  </si>
  <si>
    <t xml:space="preserve">PAY-02</t>
  </si>
  <si>
    <t xml:space="preserve">Manual payment entry (cash / POS / transfer)</t>
  </si>
  <si>
    <t xml:space="preserve">Customer pays</t>
  </si>
  <si>
    <t xml:space="preserve">1. Choose method and amount.
2. Saved as paid, received_by = barber.
3. Ledger rows written in the same transaction.</t>
  </si>
  <si>
    <t xml:space="preserve">appointment_payments, payments, barber_ledger</t>
  </si>
  <si>
    <t xml:space="preserve">Amount can't exceed what's left to pay.</t>
  </si>
  <si>
    <t xml:space="preserve">STO-01</t>
  </si>
  <si>
    <t xml:space="preserve">Build a product sale</t>
  </si>
  <si>
    <t xml:space="preserve">Customer wants a product</t>
  </si>
  <si>
    <t xml:space="preserve">1. Build the sale on screen: product / variant + qty; price from the variant, not editable.
2. Stock checked live.
3. Nothing is saved yet; the order is written together with its first payment (STO-02).</t>
  </si>
  <si>
    <t xml:space="preserve">(nothing until STO-02)</t>
  </si>
  <si>
    <t xml:space="preserve">Barbers can never edit stock, prices or products. An abandoned sale leaves nothing behind.</t>
  </si>
  <si>
    <t xml:space="preserve">STO-02</t>
  </si>
  <si>
    <t xml:space="preserve">Take payment -&gt; order saved, stock deducted</t>
  </si>
  <si>
    <t xml:space="preserve">1. Cash / POS / transfer: ONE transaction inserts the order + items + in_store_sales row (barber, location) + the paid payment (provider = the method). Address snapshot = the shop location; contact phone = the customer's.
2. QPay: insert order + pending payment as a hold and show the QR.
3. Split payments: the first payment creates the order, the rest attach to it.
4. When payments add up to the total -&gt; existing settlement: stock deducted with the oversell guard, inventory_ledger written, status paid -&gt; delivered.</t>
  </si>
  <si>
    <t xml:space="preserve">orders, order_items, payments, product_variants, inventory_ledger</t>
  </si>
  <si>
    <t xml:space="preserve">Settlement stays the only way stock changes. An unpaid QPay in-store order is DELETED by the sweep after QPay confirms the cancel (same rule as booking holds). A partly paid order stays: money was taken. Order state machine needs paid -&gt; delivered for in_store.</t>
  </si>
  <si>
    <t xml:space="preserve">STO-03</t>
  </si>
  <si>
    <t xml:space="preserve">Product commission</t>
  </si>
  <si>
    <t xml:space="preserve">Each paid payment on an in-store order</t>
  </si>
  <si>
    <t xml:space="preserve">1. product_commission = amount x the barber's product commission % (terms in force).
2. If cash: also cash_collected -amount.</t>
  </si>
  <si>
    <t xml:space="preserve">barber_ledger</t>
  </si>
  <si>
    <t xml:space="preserve">Online orders never create commission. The rate is frozen on the row.</t>
  </si>
  <si>
    <t xml:space="preserve">STO-02, ACC-01</t>
  </si>
  <si>
    <t xml:space="preserve">ACC-01</t>
  </si>
  <si>
    <t xml:space="preserve">Ledger rows on appointment payments</t>
  </si>
  <si>
    <t xml:space="preserve">A payment becomes paid</t>
  </si>
  <si>
    <t xml:space="preserve">1. service_share = amount - shop cut (terms in force; rate frozen on the row).
2. If cash: also cash_collected -amount (the barber holds that cash and owes it back).
3. Same transaction as marking the payment paid.</t>
  </si>
  <si>
    <t xml:space="preserve">barber_ledger, barber_terms</t>
  </si>
  <si>
    <t xml:space="preserve">QPay / POS / transfer land in the shop's main account; cash stays with the barber. Integer mungu; shop cut rounded down. Unique (payment, kind) stops duplicates.</t>
  </si>
  <si>
    <t xml:space="preserve">ACC-02</t>
  </si>
  <si>
    <t xml:space="preserve">Barber earnings screen</t>
  </si>
  <si>
    <t xml:space="preserve">1. Pick a date range.
2. Totals: services earned, product commission, cash held, rent deducted, payouts, hand-ins.
3. Current balance: + shop owes you / - you owe the shop.
4. Line list linked to appointments and orders; rent charges due.</t>
  </si>
  <si>
    <t xml:space="preserve">barber_ledger, rent_charges</t>
  </si>
  <si>
    <t xml:space="preserve">Read-only for barbers.</t>
  </si>
  <si>
    <t xml:space="preserve">ACC-03</t>
  </si>
  <si>
    <t xml:space="preserve">Owner: all barber balances</t>
  </si>
  <si>
    <t xml:space="preserve">1. One row per barber: balance, cash outstanding, rent due / overdue.
2. Open any barber's ledger.</t>
  </si>
  <si>
    <t xml:space="preserve">ACC-04</t>
  </si>
  <si>
    <t xml:space="preserve">Cash hand-in</t>
  </si>
  <si>
    <t xml:space="preserve">Owner confirms</t>
  </si>
  <si>
    <t xml:space="preserve">Barber pays cash back to the main account</t>
  </si>
  <si>
    <t xml:space="preserve">1. Owner records settlement +amount with a note.</t>
  </si>
  <si>
    <t xml:space="preserve">Only the owner can confirm, so a barber can't clear their own debt.</t>
  </si>
  <si>
    <t xml:space="preserve">ACC-05</t>
  </si>
  <si>
    <t xml:space="preserve">Payout with automatic rent deduction</t>
  </si>
  <si>
    <t xml:space="preserve">Paying the barber</t>
  </si>
  <si>
    <t xml:space="preserve">1. System shows balance B (what the shop owes) and due rent charges.
2. Due rent is deducted automatically, oldest first, while it fits in B: rent_deduction -amount per charge; the charge is marked paid (paid_via payout).
3. What's left is paid out -&gt; payout -amount.</t>
  </si>
  <si>
    <t xml:space="preserve">If B &lt;= 0 (the barber owes the shop, e.g. cash), there's no payout and rent stays due. A rent charge is deducted whole or not at all.</t>
  </si>
  <si>
    <t xml:space="preserve">ACC-01, RNT-02</t>
  </si>
  <si>
    <t xml:space="preserve">ACC-06</t>
  </si>
  <si>
    <t xml:space="preserve">Adjustment</t>
  </si>
  <si>
    <t xml:space="preserve">Correction needed</t>
  </si>
  <si>
    <t xml:space="preserve">1. +/- amount, note required.</t>
  </si>
  <si>
    <t xml:space="preserve">The ledger is append-only; mistakes are corrected with a counter-entry, never edited.</t>
  </si>
  <si>
    <t xml:space="preserve">ACC-07</t>
  </si>
  <si>
    <t xml:space="preserve">Terms change mid-period</t>
  </si>
  <si>
    <t xml:space="preserve">Owner saves new terms</t>
  </si>
  <si>
    <t xml:space="preserve">1. Only rows created after effective-from use the new %.</t>
  </si>
  <si>
    <t xml:space="preserve">barber_terms, barber_ledger</t>
  </si>
  <si>
    <t xml:space="preserve">Old rows keep their frozen rate; history never changes.</t>
  </si>
  <si>
    <t xml:space="preserve">RNT-01</t>
  </si>
  <si>
    <t xml:space="preserve">Rent agreement</t>
  </si>
  <si>
    <t xml:space="preserve">Owner + barber</t>
  </si>
  <si>
    <t xml:space="preserve">Agreed between them</t>
  </si>
  <si>
    <t xml:space="preserve">1. Owner enters amount, period (weekly / every 2 weeks / monthly) and start date in the barber's terms.</t>
  </si>
  <si>
    <t xml:space="preserve">Only those three periods. Rent 0 = commission-only barber. Rent and commission can both apply.</t>
  </si>
  <si>
    <t xml:space="preserve">RNT-02</t>
  </si>
  <si>
    <t xml:space="preserve">Generate rent charges</t>
  </si>
  <si>
    <t xml:space="preserve">Daily sweep</t>
  </si>
  <si>
    <t xml:space="preserve">1. For each barber with rent: due dates = start date + n x period.
2. When a due date arrives, insert a rent_charges row with the amount frozen.</t>
  </si>
  <si>
    <t xml:space="preserve">rent_charges</t>
  </si>
  <si>
    <t xml:space="preserve">Unique (barber, due_on): running twice never charges twice. Changed terms only affect charges created afterwards. Monthly starting on the 29th-31st falls on the month's last day.</t>
  </si>
  <si>
    <t xml:space="preserve">RNT-01, JOB-02</t>
  </si>
  <si>
    <t xml:space="preserve">RNT-03</t>
  </si>
  <si>
    <t xml:space="preserve">Owner confirms direct rent payment</t>
  </si>
  <si>
    <t xml:space="preserve">Barber paid rent directly</t>
  </si>
  <si>
    <t xml:space="preserve">1. Mark the charge paid (paid_via direct), confirmed_by, note; or waive it.</t>
  </si>
  <si>
    <t xml:space="preserve">Only the owner confirms. No ledger row: the barber paid from their own pocket.</t>
  </si>
  <si>
    <t xml:space="preserve">RNT-04</t>
  </si>
  <si>
    <t xml:space="preserve">Overdue rent</t>
  </si>
  <si>
    <t xml:space="preserve">Owner / Barber</t>
  </si>
  <si>
    <t xml:space="preserve">1. Owner: list of charges past due_on.
2. Barber: own due rent on the earnings screen.</t>
  </si>
  <si>
    <t xml:space="preserve">The next payout deducts it automatically (ACC-05).</t>
  </si>
  <si>
    <t xml:space="preserve">JOB-01</t>
  </si>
  <si>
    <t xml:space="preserve">Sweep: delete unpaid holds</t>
  </si>
  <si>
    <t xml:space="preserve">Existing reconcile sweep</t>
  </si>
  <si>
    <t xml:space="preserve">1. Booking holds (CUS-05) and unpaid QPay in-store orders (STO-02) past expiry: final QPay check -&gt; confirm if paid, else cancel invoice and delete.</t>
  </si>
  <si>
    <t xml:space="preserve">appointments, appointment_payments, orders, payments</t>
  </si>
  <si>
    <t xml:space="preserve">Added to the existing sweep, reusing its overlap protection. Delete only after QPay confirms the cancel.</t>
  </si>
  <si>
    <t xml:space="preserve">CUS-02, STO-02</t>
  </si>
  <si>
    <t xml:space="preserve">JOB-02</t>
  </si>
  <si>
    <t xml:space="preserve">Sweep: rent charges</t>
  </si>
  <si>
    <t xml:space="preserve">Daily</t>
  </si>
  <si>
    <t xml:space="preserve">1. Runs RNT-02.</t>
  </si>
  <si>
    <t xml:space="preserve">Safe to re-run.</t>
  </si>
  <si>
    <t xml:space="preserve">NTF-01</t>
  </si>
  <si>
    <t xml:space="preserve">Change emails (reschedule / cancel / flag)</t>
  </si>
  <si>
    <t xml:space="preserve">Rescheduled / cancelled / flagged</t>
  </si>
  <si>
    <t xml:space="preserve">1. Only when the customer gave an email.
2. Sent via Resend in the same email shell as receipts; always includes the barber's phone.</t>
  </si>
  <si>
    <t xml:space="preserve">Best-effort: a failed email never blocks the booking change. SMS is out of scope.</t>
  </si>
  <si>
    <t xml:space="preserve">NTF-02</t>
  </si>
  <si>
    <t xml:space="preserve">Confirmation email - exactly once, only on confirmation</t>
  </si>
  <si>
    <t xml:space="preserve">Appointment becomes confirmed (CUS-03, APT-02)</t>
  </si>
  <si>
    <t xml:space="preserve">1. After the confirming transaction commits, send: date/time, location + map, barber name + phone, services, total, fee paid, due at the shop, 'call your barber to reschedule or cancel'.
2. Set confirmation_sent_at.
3. 'Resend confirmation' button for the barber / owner.</t>
  </si>
  <si>
    <t xml:space="preserve">appointments</t>
  </si>
  <si>
    <t xml:space="preserve">NEVER sent for a hold. confirmation_sent_at stops a second email when the QPay callback and the sweep both confirm. A failed send is logged and never undoes the confirmation; the resend button covers it.</t>
  </si>
  <si>
    <t xml:space="preserve">#</t>
  </si>
  <si>
    <t xml:space="preserve">Requirement</t>
  </si>
  <si>
    <t xml:space="preserve">What we decided</t>
  </si>
  <si>
    <t xml:space="preserve">Covered by flows</t>
  </si>
  <si>
    <t xml:space="preserve">Multiple locations; any barber can work at any location</t>
  </si>
  <si>
    <t xml:space="preserve">Barbers plan shifts per location; nothing ties a barber to one branch.</t>
  </si>
  <si>
    <t xml:space="preserve">OWN-01, SHF-01</t>
  </si>
  <si>
    <t xml:space="preserve">Barbers define their own services</t>
  </si>
  <si>
    <t xml:space="preserve">Name (EN required, MN optional), price, duration and location are all the barber's call. Same service at another branch = another row with its own price.</t>
  </si>
  <si>
    <t xml:space="preserve">BAR-02, BAR-03</t>
  </si>
  <si>
    <t xml:space="preserve">Several services in one appointment</t>
  </si>
  <si>
    <t xml:space="preserve">One barber, one location, many lines; total and duration are summed.</t>
  </si>
  <si>
    <t xml:space="preserve">CUS-01, APT-04</t>
  </si>
  <si>
    <t xml:space="preserve">Cleanup buffer per barber</t>
  </si>
  <si>
    <t xml:space="preserve">Set by the barber, frozen onto each booking.</t>
  </si>
  <si>
    <t xml:space="preserve">BAR-01, SHF-04</t>
  </si>
  <si>
    <t xml:space="preserve">Booking fee per barber</t>
  </si>
  <si>
    <t xml:space="preserve">Set by the barber, paid online, subtracted from the total at the shop, never refunded. Fee 0 = phone booking only.</t>
  </si>
  <si>
    <t xml:space="preserve">BAR-01, CUS-03, APT-07</t>
  </si>
  <si>
    <t xml:space="preserve">Arbitrary shifts, set by the barber</t>
  </si>
  <si>
    <t xml:space="preserve">Any days and hours; online booking only inside them.</t>
  </si>
  <si>
    <t xml:space="preserve">SHF-01, SHF-02, SHF-03</t>
  </si>
  <si>
    <t xml:space="preserve">Inside-shift bookings use slots; overtime bookings don't</t>
  </si>
  <si>
    <t xml:space="preserve">Availability is computed live from shifts minus appointments, so this is automatic.</t>
  </si>
  <si>
    <t xml:space="preserve">SHF-04, APT-02</t>
  </si>
  <si>
    <t xml:space="preserve">Bookings are confirmed ONLY by a paid fee or by the barber</t>
  </si>
  <si>
    <t xml:space="preserve">Online: only a paid fee confirms. Barber-entered: entering it is the confirmation. The database refuses a confirmed status without confirmed_at.</t>
  </si>
  <si>
    <t xml:space="preserve">CUS-03, APT-02, FND-01</t>
  </si>
  <si>
    <t xml:space="preserve">Nothing a customer submits is kept unless money arrives</t>
  </si>
  <si>
    <t xml:space="preserve">Before payment only a temporary hold exists; unpaid holds and unpaid QPay in-store orders are deleted. See the Insert audit tab.</t>
  </si>
  <si>
    <t xml:space="preserve">CUS-02, CUS-05, STO-02, JOB-01</t>
  </si>
  <si>
    <t xml:space="preserve">Confirmation email only at confirmation, exactly once</t>
  </si>
  <si>
    <t xml:space="preserve">Never for a hold; resend button if it fails.</t>
  </si>
  <si>
    <t xml:space="preserve">Phone / in-person bookings with no fee, any time</t>
  </si>
  <si>
    <t xml:space="preserve">source = barber, fee 0; creating it is the barber's confirmation, so it's confirmed immediately. Inside or outside shifts.</t>
  </si>
  <si>
    <t xml:space="preserve">Reschedule any time, barber only; fee carries over</t>
  </si>
  <si>
    <t xml:space="preserve">Same appointment row; history in appointment_events.</t>
  </si>
  <si>
    <t xml:space="preserve">Cancel is barber-only; fee kept</t>
  </si>
  <si>
    <t xml:space="preserve">Customers call the barber; no online cancel.</t>
  </si>
  <si>
    <t xml:space="preserve">APT-05, CUS-06</t>
  </si>
  <si>
    <t xml:space="preserve">No-show keeps the fee</t>
  </si>
  <si>
    <t xml:space="preserve">Barber marks it.</t>
  </si>
  <si>
    <t xml:space="preserve">Emergency: flag, call list, reschedule each customer</t>
  </si>
  <si>
    <t xml:space="preserve">needs_reschedule_at flag + call list with customer contact.</t>
  </si>
  <si>
    <t xml:space="preserve">EMG-01, EMG-02</t>
  </si>
  <si>
    <t xml:space="preserve">Customer sees the barber's phone on confirmation</t>
  </si>
  <si>
    <t xml:space="preserve">Barber phone is required.</t>
  </si>
  <si>
    <t xml:space="preserve">CUS-04, NTF-02</t>
  </si>
  <si>
    <t xml:space="preserve">No double-booking, ever</t>
  </si>
  <si>
    <t xml:space="preserve">Database overlap constraint on appointments (and on shifts).</t>
  </si>
  <si>
    <t xml:space="preserve">FND-01, CUS-02</t>
  </si>
  <si>
    <t xml:space="preserve">Payments: QPay, cash, POS, bank transfer, split</t>
  </si>
  <si>
    <t xml:space="preserve">Must add up to the total exactly before completing.</t>
  </si>
  <si>
    <t xml:space="preserve">APT-07, PAY-01, PAY-02</t>
  </si>
  <si>
    <t xml:space="preserve">No tips tracked</t>
  </si>
  <si>
    <t xml:space="preserve">Extra money is the barber's; never entered.</t>
  </si>
  <si>
    <t xml:space="preserve">Barber login with limited permissions</t>
  </si>
  <si>
    <t xml:space="preserve">Same email-OTP login as the owner; scoped to their own data.</t>
  </si>
  <si>
    <t xml:space="preserve">FND-02, FND-03</t>
  </si>
  <si>
    <t xml:space="preserve">Barbers sell products at the listed price</t>
  </si>
  <si>
    <t xml:space="preserve">In-store order; stock deducted only by the existing settlement path.</t>
  </si>
  <si>
    <t xml:space="preserve">STO-01, STO-02</t>
  </si>
  <si>
    <t xml:space="preserve">Commission % per barber (services + products)</t>
  </si>
  <si>
    <t xml:space="preserve">Owner-set, versioned; rate frozen on every ledger row.</t>
  </si>
  <si>
    <t xml:space="preserve">OWN-03, ACC-01, STO-03, ACC-07</t>
  </si>
  <si>
    <t xml:space="preserve">Cash is owed back to the shop</t>
  </si>
  <si>
    <t xml:space="preserve">cash_collected rows; the owner confirms hand-ins.</t>
  </si>
  <si>
    <t xml:space="preserve">ACC-01, ACC-04</t>
  </si>
  <si>
    <t xml:space="preserve">POS / transfer / QPay land in the shop's main account</t>
  </si>
  <si>
    <t xml:space="preserve">Barber is only credited their share.</t>
  </si>
  <si>
    <t xml:space="preserve">Rent: fixed amount, weekly / 2-weekly / monthly</t>
  </si>
  <si>
    <t xml:space="preserve">Agreed by owner and barber; owner confirms payment.</t>
  </si>
  <si>
    <t xml:space="preserve">RNT-01, RNT-02, RNT-03</t>
  </si>
  <si>
    <t xml:space="preserve">Rent auto-deducted from payouts</t>
  </si>
  <si>
    <t xml:space="preserve">Oldest due charge first, whole charges only.</t>
  </si>
  <si>
    <t xml:space="preserve">Barber earnings and accounting screen</t>
  </si>
  <si>
    <t xml:space="preserve">Balance, commission, cash held, rent, payouts.</t>
  </si>
  <si>
    <t xml:space="preserve">ACC-02, ACC-03</t>
  </si>
  <si>
    <t xml:space="preserve">Full history of every appointment change</t>
  </si>
  <si>
    <t xml:space="preserve">Append-only appointment_events.</t>
  </si>
  <si>
    <t xml:space="preserve">APT-03, APT-05, EMG-01</t>
  </si>
  <si>
    <t xml:space="preserve">Price / fee / buffer changes never rewrite bookings</t>
  </si>
  <si>
    <t xml:space="preserve">Frozen values on appointments and lines.</t>
  </si>
  <si>
    <t xml:space="preserve">BAR-01, BAR-03</t>
  </si>
  <si>
    <t xml:space="preserve">Owner can also be a barber</t>
  </si>
  <si>
    <t xml:space="preserve">Admin user linked to a barbers row.</t>
  </si>
  <si>
    <t xml:space="preserve">Booking is purely additive to the shop</t>
  </si>
  <si>
    <t xml:space="preserve">Migration 0006 only creates new types and tables; rollback script restores the exact prior schema (verified).</t>
  </si>
  <si>
    <t xml:space="preserve">Table</t>
  </si>
  <si>
    <t xml:space="preserve">Group</t>
  </si>
  <si>
    <t xml:space="preserve">Edited by</t>
  </si>
  <si>
    <t xml:space="preserve">Purpose</t>
  </si>
  <si>
    <t xml:space="preserve">Key columns</t>
  </si>
  <si>
    <t xml:space="preserve">Key rules</t>
  </si>
  <si>
    <t xml:space="preserve">Core</t>
  </si>
  <si>
    <t xml:space="preserve">Branches.</t>
  </si>
  <si>
    <t xml:space="preserve">slug, name_mn/en, address, phone, map_link, is_active</t>
  </si>
  <si>
    <t xml:space="preserve">No foreign keys. Deactivate, don't delete.</t>
  </si>
  <si>
    <t xml:space="preserve">Owner; barber edits own profile</t>
  </si>
  <si>
    <t xml:space="preserve">People who cut hair.</t>
  </si>
  <si>
    <t xml:space="preserve">name, phone (required), bio, photo, booking_fee, buffer_minutes, user_id</t>
  </si>
  <si>
    <t xml:space="preserve">user_id optional: a barber can exist without a login.</t>
  </si>
  <si>
    <t xml:space="preserve">Barber's own</t>
  </si>
  <si>
    <t xml:space="preserve">What a barber offers at one location.</t>
  </si>
  <si>
    <t xml:space="preserve">barber_id, location_id, name_en (req), name_mn, price, duration_minutes, is_active</t>
  </si>
  <si>
    <t xml:space="preserve">Same service elsewhere = another row. No shared catalog.</t>
  </si>
  <si>
    <t xml:space="preserve">Planned availability for online booking.</t>
  </si>
  <si>
    <t xml:space="preserve">barber_id, location_id, starts_at, ends_at</t>
  </si>
  <si>
    <t xml:space="preserve">No overlaps per barber (EXCLUDE). Appointments never reference shifts.</t>
  </si>
  <si>
    <t xml:space="preserve">Owner's own</t>
  </si>
  <si>
    <t xml:space="preserve">Commission and rent deal, versioned.</t>
  </si>
  <si>
    <t xml:space="preserve">service_cut_bps, product_commission_bps, rent_amount, rent_period, rent_starts_on, effective_from</t>
  </si>
  <si>
    <t xml:space="preserve">New row per change; never edited. rent_period: weekly / biweekly / monthly.</t>
  </si>
  <si>
    <t xml:space="preserve">System creates; owner confirms</t>
  </si>
  <si>
    <t xml:space="preserve">One row per rent due date.</t>
  </si>
  <si>
    <t xml:space="preserve">barber_id, amount, due_on, status, paid_via, confirmed_by</t>
  </si>
  <si>
    <t xml:space="preserve">Unique (barber, due_on). status: due / paid / waived; paid_via: direct / payout.</t>
  </si>
  <si>
    <t xml:space="preserve">Booking</t>
  </si>
  <si>
    <t xml:space="preserve">Barber (customers only via a paid fee)</t>
  </si>
  <si>
    <t xml:space="preserve">One visit: barber, location, time, money. A pending row is a temporary hold.</t>
  </si>
  <si>
    <t xml:space="preserve">source, starts_at, ends_at, blocked_until, buffer_minutes, status (pending / booked / completed / cancelled / no_show), total, booking_fee, expires_at, confirmed_at, confirmed_by, confirmation_sent_at, needs_reschedule_at, customer name/phone/email</t>
  </si>
  <si>
    <t xml:space="preserve">No overlaps per barber on [starts_at, blocked_until) unless cancelled. CHECK: booked/completed/no_show need confirmed_at; online needs booking_fee &gt; 0 and an email. Unpaid holds are deleted, not kept. Barber bookings: fee 0, no hold, confirmed on creation.</t>
  </si>
  <si>
    <t xml:space="preserve">appointment_services</t>
  </si>
  <si>
    <t xml:space="preserve">Lines of an appointment.</t>
  </si>
  <si>
    <t xml:space="preserve">service_id, name/price/duration snapshots</t>
  </si>
  <si>
    <t xml:space="preserve">Frozen; service edits never change them.</t>
  </si>
  <si>
    <t xml:space="preserve">appointment_events</t>
  </si>
  <si>
    <t xml:space="preserve">History: created, rescheduled, updated, flagged, cancelled, no_show, completed.</t>
  </si>
  <si>
    <t xml:space="preserve">kind, from_starts_at, to_starts_at, actor_id, note</t>
  </si>
  <si>
    <t xml:space="preserve">Append-only.</t>
  </si>
  <si>
    <t xml:space="preserve">appointment_payments</t>
  </si>
  <si>
    <t xml:space="preserve">Customer (fee), barber (rest)</t>
  </si>
  <si>
    <t xml:space="preserve">Fee + balance payments, any method.</t>
  </si>
  <si>
    <t xml:space="preserve">kind, method, amount, status, qpay ids, received_by_user_id</t>
  </si>
  <si>
    <t xml:space="preserve">Fee paid once; balance may be split. Manual methods are paid on entry. A pending fee row is deleted with its hold.</t>
  </si>
  <si>
    <t xml:space="preserve">System + owner</t>
  </si>
  <si>
    <t xml:space="preserve">What the shop owes each barber, and vice versa.</t>
  </si>
  <si>
    <t xml:space="preserve">kind, gross_amount, rate_bps, amount, appointment_payment_id, payment_id, rent_charge_id</t>
  </si>
  <si>
    <t xml:space="preserve">Append-only; balance = sum(amount). Kinds: service_share, product_commission, cash_collected, rent_deduction, payout, settlement, adjustment.</t>
  </si>
  <si>
    <t xml:space="preserve">in_store_sales</t>
  </si>
  <si>
    <t xml:space="preserve">Marks an order as sold in the shop.</t>
  </si>
  <si>
    <t xml:space="preserve">order_id (PK), barber_id, location_id</t>
  </si>
  <si>
    <t xml:space="preserve">Side table so orders stays untouched.</t>
  </si>
  <si>
    <t xml:space="preserve">orders (unchanged)</t>
  </si>
  <si>
    <t xml:space="preserve">Shop</t>
  </si>
  <si>
    <t xml:space="preserve">In-store sales reuse orders.</t>
  </si>
  <si>
    <t xml:space="preserve">No column changes. Snapshot address = the shop location; contact_phone = the customer's.</t>
  </si>
  <si>
    <t xml:space="preserve">An order is in-store iff it has an in_store_sales row.</t>
  </si>
  <si>
    <t xml:space="preserve">payments (unchanged)</t>
  </si>
  <si>
    <t xml:space="preserve">Product-sale payments, any method.</t>
  </si>
  <si>
    <t xml:space="preserve">No column changes: provider (text) stores qpay / cash / pos / bank_transfer.</t>
  </si>
  <si>
    <t xml:space="preserve">Who took it = in_store_sales.barber_id.</t>
  </si>
  <si>
    <t xml:space="preserve">users (unchanged)</t>
  </si>
  <si>
    <t xml:space="preserve">Logins.</t>
  </si>
  <si>
    <t xml:space="preserve">No change to user_role.</t>
  </si>
  <si>
    <t xml:space="preserve">A user is a barber iff an active barbers row links to them.</t>
  </si>
  <si>
    <t xml:space="preserve">Action</t>
  </si>
  <si>
    <t xml:space="preserve">Products, prices, stock, settings</t>
  </si>
  <si>
    <t xml:space="preserve">Edit</t>
  </si>
  <si>
    <t xml:space="preserve">Locations</t>
  </si>
  <si>
    <t xml:space="preserve">View</t>
  </si>
  <si>
    <t xml:space="preserve">Barber terms (commission %, rent)</t>
  </si>
  <si>
    <t xml:space="preserve">View own</t>
  </si>
  <si>
    <t xml:space="preserve">Rent charges: confirm / waive</t>
  </si>
  <si>
    <t xml:space="preserve">Yes</t>
  </si>
  <si>
    <t xml:space="preserve">Payouts, cash hand-ins, adjustments</t>
  </si>
  <si>
    <t xml:space="preserve">Own profile, fee, buffer, phone</t>
  </si>
  <si>
    <t xml:space="preserve">Edit anyone's</t>
  </si>
  <si>
    <t xml:space="preserve">Edit own</t>
  </si>
  <si>
    <t xml:space="preserve">Services</t>
  </si>
  <si>
    <t xml:space="preserve">View active</t>
  </si>
  <si>
    <t xml:space="preserve">Shifts</t>
  </si>
  <si>
    <t xml:space="preserve">Book online inside shifts</t>
  </si>
  <si>
    <t xml:space="preserve">Create booking any time (phone / in person)</t>
  </si>
  <si>
    <t xml:space="preserve">Own only</t>
  </si>
  <si>
    <t xml:space="preserve">Reschedule / cancel / no-show / complete</t>
  </si>
  <si>
    <t xml:space="preserve">Call the barber</t>
  </si>
  <si>
    <t xml:space="preserve">Emergency flag + call list</t>
  </si>
  <si>
    <t xml:space="preserve">Take payments (QPay / cash / POS / transfer)</t>
  </si>
  <si>
    <t xml:space="preserve">Own appointments &amp; sales</t>
  </si>
  <si>
    <t xml:space="preserve">Pays</t>
  </si>
  <si>
    <t xml:space="preserve">Sell products in store at listed price</t>
  </si>
  <si>
    <t xml:space="preserve">Yes (recorded as seller)</t>
  </si>
  <si>
    <t xml:space="preserve">Earnings / ledger</t>
  </si>
  <si>
    <t xml:space="preserve">All barbers</t>
  </si>
  <si>
    <t xml:space="preserve">Flow</t>
  </si>
  <si>
    <t xml:space="preserve">What gets inserted</t>
  </si>
  <si>
    <t xml:space="preserve">Triggered by</t>
  </si>
  <si>
    <t xml:space="preserve">Money first?</t>
  </si>
  <si>
    <t xml:space="preserve">Verdict</t>
  </si>
  <si>
    <t xml:space="preserve">Why</t>
  </si>
  <si>
    <t xml:space="preserve">CUS-01 Browse</t>
  </si>
  <si>
    <t xml:space="preserve">Nothing</t>
  </si>
  <si>
    <t xml:space="preserve">Customer (public)</t>
  </si>
  <si>
    <t xml:space="preserve">OK</t>
  </si>
  <si>
    <t xml:space="preserve">Read only.</t>
  </si>
  <si>
    <t xml:space="preserve">CUS-02 Hold the slot</t>
  </si>
  <si>
    <t xml:space="preserve">Pending appointment + its lines + pending fee payment</t>
  </si>
  <si>
    <t xml:space="preserve">No (temporary)</t>
  </si>
  <si>
    <t xml:space="preserve">Allowed, temporary</t>
  </si>
  <si>
    <t xml:space="preserve">The only pre-payment insert. Needed so two people can't pay for one slot. Deleted if unpaid (CUS-05). No events, emails, ledger or attempts log.</t>
  </si>
  <si>
    <t xml:space="preserve">CUS-03 Fee paid</t>
  </si>
  <si>
    <t xml:space="preserve">Booking confirmed, event, ledger rows</t>
  </si>
  <si>
    <t xml:space="preserve">QPay payment</t>
  </si>
  <si>
    <t xml:space="preserve">Behind money</t>
  </si>
  <si>
    <t xml:space="preserve">Everything durable about an online booking is written here.</t>
  </si>
  <si>
    <t xml:space="preserve">CUS-05 / JOB-01 Sweep</t>
  </si>
  <si>
    <t xml:space="preserve">Deletes unpaid holds and unpaid QPay in-store orders</t>
  </si>
  <si>
    <t xml:space="preserve">Cleanup</t>
  </si>
  <si>
    <t xml:space="preserve">Unpaid attempts leave no trace.</t>
  </si>
  <si>
    <t xml:space="preserve">Removed: online request without a fee</t>
  </si>
  <si>
    <t xml:space="preserve">Pending appointment waiting for the barber</t>
  </si>
  <si>
    <t xml:space="preserve">No</t>
  </si>
  <si>
    <t xml:space="preserve">REMOVED</t>
  </si>
  <si>
    <t xml:space="preserve">A public insert with no money behind it. No-fee barbers are phone-only now; the barber enters those bookings (APT-02).</t>
  </si>
  <si>
    <t xml:space="preserve">APT-02 Barber-entered booking</t>
  </si>
  <si>
    <t xml:space="preserve">Appointment + lines + event</t>
  </si>
  <si>
    <t xml:space="preserve">Barber (logged in)</t>
  </si>
  <si>
    <t xml:space="preserve">Allowed, on purpose</t>
  </si>
  <si>
    <t xml:space="preserve">The barber vouches for a phone / in-person customer. Accountable login, scoped to their own calendar.</t>
  </si>
  <si>
    <t xml:space="preserve">APT-03..06, EMG-01/02</t>
  </si>
  <si>
    <t xml:space="preserve">Updates + appointment_events</t>
  </si>
  <si>
    <t xml:space="preserve">Allowed</t>
  </si>
  <si>
    <t xml:space="preserve">Changes to bookings that already exist; events are the audit trail.</t>
  </si>
  <si>
    <t xml:space="preserve">APT-07, PAY-01/02 Checkout</t>
  </si>
  <si>
    <t xml:space="preserve">Payments + ledger rows</t>
  </si>
  <si>
    <t xml:space="preserve">Is the money</t>
  </si>
  <si>
    <t xml:space="preserve">QPay rows confirm via QPay; cash / POS / transfer rows are the barber's record of money received.</t>
  </si>
  <si>
    <t xml:space="preserve">STO-01 Build a sale</t>
  </si>
  <si>
    <t xml:space="preserve">Built on screen only.</t>
  </si>
  <si>
    <t xml:space="preserve">STO-02 Take payment</t>
  </si>
  <si>
    <t xml:space="preserve">Order + items + payment</t>
  </si>
  <si>
    <t xml:space="preserve">Yes (cash/POS/transfer); temporary hold (QPay)</t>
  </si>
  <si>
    <t xml:space="preserve">Order is written with its first payment. Unpaid QPay hold deleted by the sweep.</t>
  </si>
  <si>
    <t xml:space="preserve">OWN-*, BAR-*, SHF-* Setup</t>
  </si>
  <si>
    <t xml:space="preserve">Locations, barbers, services, shifts, terms</t>
  </si>
  <si>
    <t xml:space="preserve">Owner / barber (logged in)</t>
  </si>
  <si>
    <t xml:space="preserve">Configuration by staff, not customer data; a payment gate makes no sense here.</t>
  </si>
  <si>
    <t xml:space="preserve">RNT-02 Rent charges</t>
  </si>
  <si>
    <t xml:space="preserve">No (it is a bill)</t>
  </si>
  <si>
    <t xml:space="preserve">Derived from agreed terms; represents money owed, not arbitrary input.</t>
  </si>
  <si>
    <t xml:space="preserve">ACC-01, STO-03 Ledger</t>
  </si>
  <si>
    <t xml:space="preserve">Written in the same transaction as the paid payment.</t>
  </si>
  <si>
    <t xml:space="preserve">ACC-04/05/06 Owner entries</t>
  </si>
  <si>
    <t xml:space="preserve">barber_ledger, rent_charges update</t>
  </si>
  <si>
    <t xml:space="preserve">Owner (logged in)</t>
  </si>
  <si>
    <t xml:space="preserve">Hand-ins, payouts and corrections are money movements.</t>
  </si>
  <si>
    <t xml:space="preserve">NTF-01/02 Emails</t>
  </si>
  <si>
    <t xml:space="preserve">Nothing (confirmation_sent_at update)</t>
  </si>
  <si>
    <t xml:space="preserve">FND-02 Staff login codes (existing)</t>
  </si>
  <si>
    <t xml:space="preserve">otp_codes</t>
  </si>
  <si>
    <t xml:space="preserve">Anyone at /admin/login</t>
  </si>
  <si>
    <t xml:space="preserve">Only created for emails that belong to staff; expired codes are cleaned up.</t>
  </si>
  <si>
    <t xml:space="preserve">Existing shop checkout (not in these flows)</t>
  </si>
  <si>
    <t xml:space="preserve">orders kept as 'expired' when unpaid + a checkout_attempts row per attempt</t>
  </si>
  <si>
    <t xml:space="preserve">Breaks the rule today</t>
  </si>
  <si>
    <t xml:space="preserve">Open question: apply the same delete-if-unpaid rule to the online shop?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</si>
</sst>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7D6"/>
        <bgColor rgb="FFFEF3C7"/>
      </patternFill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  <c r="B9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14</v>
      </c>
    </row>
    <row r="13" customFormat="false" ht="15" hidden="false" customHeight="false" outlineLevel="0" collapsed="false">
      <c r="A13" s="6" t="s">
        <v>15</v>
      </c>
      <c r="B13" s="6" t="n">
        <f aca="false">COUNTIF(Flows!$B$2:$B$51,$A13)</f>
        <v>3</v>
      </c>
      <c r="C13" s="6" t="n">
        <f aca="false">COUNTIFS(Flows!$B$2:$B$51,$A13,Flows!$K$2:$K$51,"Done")</f>
        <v>0</v>
      </c>
      <c r="D13" s="6" t="n">
        <f aca="false">COUNTIFS(Flows!$B$2:$B$51,$A13,Flows!$K$2:$K$51,"In progress")</f>
        <v>0</v>
      </c>
      <c r="E13" s="7" t="n">
        <f aca="false">IF(B13=0,0,C13/B13)</f>
        <v>0</v>
      </c>
    </row>
    <row r="14" customFormat="false" ht="15" hidden="false" customHeight="false" outlineLevel="0" collapsed="false">
      <c r="A14" s="6" t="s">
        <v>16</v>
      </c>
      <c r="B14" s="6" t="n">
        <f aca="false">COUNTIF(Flows!$B$2:$B$51,$A14)</f>
        <v>5</v>
      </c>
      <c r="C14" s="6" t="n">
        <f aca="false">COUNTIFS(Flows!$B$2:$B$51,$A14,Flows!$K$2:$K$51,"Done")</f>
        <v>0</v>
      </c>
      <c r="D14" s="6" t="n">
        <f aca="false">COUNTIFS(Flows!$B$2:$B$51,$A14,Flows!$K$2:$K$51,"In progress")</f>
        <v>0</v>
      </c>
      <c r="E14" s="7" t="n">
        <f aca="false">IF(B14=0,0,C14/B14)</f>
        <v>0</v>
      </c>
    </row>
    <row r="15" customFormat="false" ht="15" hidden="false" customHeight="false" outlineLevel="0" collapsed="false">
      <c r="A15" s="6" t="s">
        <v>17</v>
      </c>
      <c r="B15" s="6" t="n">
        <f aca="false">COUNTIF(Flows!$B$2:$B$51,$A15)</f>
        <v>3</v>
      </c>
      <c r="C15" s="6" t="n">
        <f aca="false">COUNTIFS(Flows!$B$2:$B$51,$A15,Flows!$K$2:$K$51,"Done")</f>
        <v>0</v>
      </c>
      <c r="D15" s="6" t="n">
        <f aca="false">COUNTIFS(Flows!$B$2:$B$51,$A15,Flows!$K$2:$K$51,"In progress")</f>
        <v>0</v>
      </c>
      <c r="E15" s="7" t="n">
        <f aca="false">IF(B15=0,0,C15/B15)</f>
        <v>0</v>
      </c>
    </row>
    <row r="16" customFormat="false" ht="15" hidden="false" customHeight="false" outlineLevel="0" collapsed="false">
      <c r="A16" s="6" t="s">
        <v>18</v>
      </c>
      <c r="B16" s="6" t="n">
        <f aca="false">COUNTIF(Flows!$B$2:$B$51,$A16)</f>
        <v>4</v>
      </c>
      <c r="C16" s="6" t="n">
        <f aca="false">COUNTIFS(Flows!$B$2:$B$51,$A16,Flows!$K$2:$K$51,"Done")</f>
        <v>0</v>
      </c>
      <c r="D16" s="6" t="n">
        <f aca="false">COUNTIFS(Flows!$B$2:$B$51,$A16,Flows!$K$2:$K$51,"In progress")</f>
        <v>0</v>
      </c>
      <c r="E16" s="7" t="n">
        <f aca="false">IF(B16=0,0,C16/B16)</f>
        <v>0</v>
      </c>
    </row>
    <row r="17" customFormat="false" ht="15" hidden="false" customHeight="false" outlineLevel="0" collapsed="false">
      <c r="A17" s="6" t="s">
        <v>19</v>
      </c>
      <c r="B17" s="6" t="n">
        <f aca="false">COUNTIF(Flows!$B$2:$B$51,$A17)</f>
        <v>6</v>
      </c>
      <c r="C17" s="6" t="n">
        <f aca="false">COUNTIFS(Flows!$B$2:$B$51,$A17,Flows!$K$2:$K$51,"Done")</f>
        <v>0</v>
      </c>
      <c r="D17" s="6" t="n">
        <f aca="false">COUNTIFS(Flows!$B$2:$B$51,$A17,Flows!$K$2:$K$51,"In progress")</f>
        <v>0</v>
      </c>
      <c r="E17" s="7" t="n">
        <f aca="false">IF(B17=0,0,C17/B17)</f>
        <v>0</v>
      </c>
    </row>
    <row r="18" customFormat="false" ht="15" hidden="false" customHeight="false" outlineLevel="0" collapsed="false">
      <c r="A18" s="6" t="s">
        <v>20</v>
      </c>
      <c r="B18" s="6" t="n">
        <f aca="false">COUNTIF(Flows!$B$2:$B$51,$A18)</f>
        <v>7</v>
      </c>
      <c r="C18" s="6" t="n">
        <f aca="false">COUNTIFS(Flows!$B$2:$B$51,$A18,Flows!$K$2:$K$51,"Done")</f>
        <v>0</v>
      </c>
      <c r="D18" s="6" t="n">
        <f aca="false">COUNTIFS(Flows!$B$2:$B$51,$A18,Flows!$K$2:$K$51,"In progress")</f>
        <v>0</v>
      </c>
      <c r="E18" s="7" t="n">
        <f aca="false">IF(B18=0,0,C18/B18)</f>
        <v>0</v>
      </c>
    </row>
    <row r="19" customFormat="false" ht="15" hidden="false" customHeight="false" outlineLevel="0" collapsed="false">
      <c r="A19" s="6" t="s">
        <v>21</v>
      </c>
      <c r="B19" s="6" t="n">
        <f aca="false">COUNTIF(Flows!$B$2:$B$51,$A19)</f>
        <v>2</v>
      </c>
      <c r="C19" s="6" t="n">
        <f aca="false">COUNTIFS(Flows!$B$2:$B$51,$A19,Flows!$K$2:$K$51,"Done")</f>
        <v>0</v>
      </c>
      <c r="D19" s="6" t="n">
        <f aca="false">COUNTIFS(Flows!$B$2:$B$51,$A19,Flows!$K$2:$K$51,"In progress")</f>
        <v>0</v>
      </c>
      <c r="E19" s="7" t="n">
        <f aca="false">IF(B19=0,0,C19/B19)</f>
        <v>0</v>
      </c>
    </row>
    <row r="20" customFormat="false" ht="15" hidden="false" customHeight="false" outlineLevel="0" collapsed="false">
      <c r="A20" s="6" t="s">
        <v>22</v>
      </c>
      <c r="B20" s="6" t="n">
        <f aca="false">COUNTIF(Flows!$B$2:$B$51,$A20)</f>
        <v>2</v>
      </c>
      <c r="C20" s="6" t="n">
        <f aca="false">COUNTIFS(Flows!$B$2:$B$51,$A20,Flows!$K$2:$K$51,"Done")</f>
        <v>0</v>
      </c>
      <c r="D20" s="6" t="n">
        <f aca="false">COUNTIFS(Flows!$B$2:$B$51,$A20,Flows!$K$2:$K$51,"In progress")</f>
        <v>0</v>
      </c>
      <c r="E20" s="7" t="n">
        <f aca="false">IF(B20=0,0,C20/B20)</f>
        <v>0</v>
      </c>
    </row>
    <row r="21" customFormat="false" ht="15" hidden="false" customHeight="false" outlineLevel="0" collapsed="false">
      <c r="A21" s="6" t="s">
        <v>23</v>
      </c>
      <c r="B21" s="6" t="n">
        <f aca="false">COUNTIF(Flows!$B$2:$B$51,$A21)</f>
        <v>3</v>
      </c>
      <c r="C21" s="6" t="n">
        <f aca="false">COUNTIFS(Flows!$B$2:$B$51,$A21,Flows!$K$2:$K$51,"Done")</f>
        <v>0</v>
      </c>
      <c r="D21" s="6" t="n">
        <f aca="false">COUNTIFS(Flows!$B$2:$B$51,$A21,Flows!$K$2:$K$51,"In progress")</f>
        <v>0</v>
      </c>
      <c r="E21" s="7" t="n">
        <f aca="false">IF(B21=0,0,C21/B21)</f>
        <v>0</v>
      </c>
    </row>
    <row r="22" customFormat="false" ht="15" hidden="false" customHeight="false" outlineLevel="0" collapsed="false">
      <c r="A22" s="6" t="s">
        <v>24</v>
      </c>
      <c r="B22" s="6" t="n">
        <f aca="false">COUNTIF(Flows!$B$2:$B$51,$A22)</f>
        <v>7</v>
      </c>
      <c r="C22" s="6" t="n">
        <f aca="false">COUNTIFS(Flows!$B$2:$B$51,$A22,Flows!$K$2:$K$51,"Done")</f>
        <v>0</v>
      </c>
      <c r="D22" s="6" t="n">
        <f aca="false">COUNTIFS(Flows!$B$2:$B$51,$A22,Flows!$K$2:$K$51,"In progress")</f>
        <v>0</v>
      </c>
      <c r="E22" s="7" t="n">
        <f aca="false">IF(B22=0,0,C22/B22)</f>
        <v>0</v>
      </c>
    </row>
    <row r="23" customFormat="false" ht="15" hidden="false" customHeight="false" outlineLevel="0" collapsed="false">
      <c r="A23" s="6" t="s">
        <v>25</v>
      </c>
      <c r="B23" s="6" t="n">
        <f aca="false">COUNTIF(Flows!$B$2:$B$51,$A23)</f>
        <v>4</v>
      </c>
      <c r="C23" s="6" t="n">
        <f aca="false">COUNTIFS(Flows!$B$2:$B$51,$A23,Flows!$K$2:$K$51,"Done")</f>
        <v>0</v>
      </c>
      <c r="D23" s="6" t="n">
        <f aca="false">COUNTIFS(Flows!$B$2:$B$51,$A23,Flows!$K$2:$K$51,"In progress")</f>
        <v>0</v>
      </c>
      <c r="E23" s="7" t="n">
        <f aca="false">IF(B23=0,0,C23/B23)</f>
        <v>0</v>
      </c>
    </row>
    <row r="24" customFormat="false" ht="15" hidden="false" customHeight="false" outlineLevel="0" collapsed="false">
      <c r="A24" s="6" t="s">
        <v>26</v>
      </c>
      <c r="B24" s="6" t="n">
        <f aca="false">COUNTIF(Flows!$B$2:$B$51,$A24)</f>
        <v>2</v>
      </c>
      <c r="C24" s="6" t="n">
        <f aca="false">COUNTIFS(Flows!$B$2:$B$51,$A24,Flows!$K$2:$K$51,"Done")</f>
        <v>0</v>
      </c>
      <c r="D24" s="6" t="n">
        <f aca="false">COUNTIFS(Flows!$B$2:$B$51,$A24,Flows!$K$2:$K$51,"In progress")</f>
        <v>0</v>
      </c>
      <c r="E24" s="7" t="n">
        <f aca="false">IF(B24=0,0,C24/B24)</f>
        <v>0</v>
      </c>
    </row>
    <row r="25" customFormat="false" ht="15" hidden="false" customHeight="false" outlineLevel="0" collapsed="false">
      <c r="A25" s="6" t="s">
        <v>27</v>
      </c>
      <c r="B25" s="6" t="n">
        <f aca="false">COUNTIF(Flows!$B$2:$B$51,$A25)</f>
        <v>2</v>
      </c>
      <c r="C25" s="6" t="n">
        <f aca="false">COUNTIFS(Flows!$B$2:$B$51,$A25,Flows!$K$2:$K$51,"Done")</f>
        <v>0</v>
      </c>
      <c r="D25" s="6" t="n">
        <f aca="false">COUNTIFS(Flows!$B$2:$B$51,$A25,Flows!$K$2:$K$51,"In progress")</f>
        <v>0</v>
      </c>
      <c r="E25" s="7" t="n">
        <f aca="false">IF(B25=0,0,C25/B25)</f>
        <v>0</v>
      </c>
    </row>
    <row r="26" customFormat="false" ht="15" hidden="false" customHeight="false" outlineLevel="0" collapsed="false">
      <c r="A26" s="8" t="s">
        <v>28</v>
      </c>
      <c r="B26" s="8" t="n">
        <f aca="false">SUM(B13:B25)</f>
        <v>50</v>
      </c>
      <c r="C26" s="8" t="n">
        <f aca="false">SUM(C13:C25)</f>
        <v>0</v>
      </c>
      <c r="D26" s="8" t="n">
        <f aca="false">SUM(D13:D25)</f>
        <v>0</v>
      </c>
      <c r="E26" s="9" t="n">
        <f aca="false">IF(B26=0,0,C26/B26)</f>
        <v>0</v>
      </c>
    </row>
    <row r="27" customFormat="false" ht="15" hidden="false" customHeight="false" outlineLevel="0" collapsed="false">
      <c r="A27" s="8" t="s">
        <v>29</v>
      </c>
      <c r="B27" s="8" t="n">
        <f aca="false">COUNTA(Features!$B$2:$B$32)</f>
        <v>31</v>
      </c>
      <c r="C27" s="8" t="n">
        <f aca="false">COUNTIF(Features!$E$2:$E$32,"Done")</f>
        <v>0</v>
      </c>
      <c r="D27" s="8" t="n">
        <f aca="false">COUNTIF(Features!$E$2:$E$32,"In progress")</f>
        <v>0</v>
      </c>
      <c r="E27" s="9" t="n">
        <f aca="false">IF(B27=0,0,C27/B27)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70"/>
    <col collapsed="false" customWidth="true" hidden="false" outlineLevel="0" max="8" min="8" style="0" width="28"/>
    <col collapsed="false" customWidth="true" hidden="false" outlineLevel="0" max="9" min="9" style="0" width="55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5" t="s">
        <v>30</v>
      </c>
      <c r="B1" s="5" t="s">
        <v>10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</row>
    <row r="2" customFormat="false" ht="172.5" hidden="false" customHeight="true" outlineLevel="0" collapsed="false">
      <c r="A2" s="10" t="s">
        <v>41</v>
      </c>
      <c r="B2" s="11" t="s">
        <v>15</v>
      </c>
      <c r="C2" s="11" t="s">
        <v>42</v>
      </c>
      <c r="D2" s="10" t="s">
        <v>43</v>
      </c>
      <c r="E2" s="11" t="s">
        <v>44</v>
      </c>
      <c r="F2" s="11" t="s">
        <v>45</v>
      </c>
      <c r="G2" s="11" t="s">
        <v>46</v>
      </c>
      <c r="H2" s="11" t="s">
        <v>47</v>
      </c>
      <c r="I2" s="11" t="s">
        <v>48</v>
      </c>
      <c r="J2" s="11" t="s">
        <v>49</v>
      </c>
      <c r="K2" s="12" t="s">
        <v>8</v>
      </c>
      <c r="L2" s="12"/>
    </row>
    <row r="3" customFormat="false" ht="69" hidden="false" customHeight="true" outlineLevel="0" collapsed="false">
      <c r="A3" s="10" t="s">
        <v>50</v>
      </c>
      <c r="B3" s="11" t="s">
        <v>15</v>
      </c>
      <c r="C3" s="11" t="s">
        <v>42</v>
      </c>
      <c r="D3" s="10" t="s">
        <v>51</v>
      </c>
      <c r="E3" s="11" t="s">
        <v>52</v>
      </c>
      <c r="F3" s="11" t="s">
        <v>53</v>
      </c>
      <c r="G3" s="11" t="s">
        <v>54</v>
      </c>
      <c r="H3" s="11" t="s">
        <v>55</v>
      </c>
      <c r="I3" s="11" t="s">
        <v>56</v>
      </c>
      <c r="J3" s="11" t="s">
        <v>41</v>
      </c>
      <c r="K3" s="12" t="s">
        <v>8</v>
      </c>
      <c r="L3" s="12"/>
    </row>
    <row r="4" customFormat="false" ht="69" hidden="false" customHeight="true" outlineLevel="0" collapsed="false">
      <c r="A4" s="10" t="s">
        <v>57</v>
      </c>
      <c r="B4" s="11" t="s">
        <v>15</v>
      </c>
      <c r="C4" s="11" t="s">
        <v>42</v>
      </c>
      <c r="D4" s="10" t="s">
        <v>58</v>
      </c>
      <c r="E4" s="11" t="s">
        <v>44</v>
      </c>
      <c r="F4" s="11" t="s">
        <v>59</v>
      </c>
      <c r="G4" s="11" t="s">
        <v>60</v>
      </c>
      <c r="H4" s="11" t="s">
        <v>49</v>
      </c>
      <c r="I4" s="11" t="s">
        <v>61</v>
      </c>
      <c r="J4" s="11" t="s">
        <v>50</v>
      </c>
      <c r="K4" s="12" t="s">
        <v>8</v>
      </c>
      <c r="L4" s="12"/>
    </row>
    <row r="5" customFormat="false" ht="42.75" hidden="false" customHeight="true" outlineLevel="0" collapsed="false">
      <c r="A5" s="10" t="s">
        <v>62</v>
      </c>
      <c r="B5" s="11" t="s">
        <v>16</v>
      </c>
      <c r="C5" s="11" t="s">
        <v>42</v>
      </c>
      <c r="D5" s="10" t="s">
        <v>63</v>
      </c>
      <c r="E5" s="11" t="s">
        <v>64</v>
      </c>
      <c r="F5" s="11" t="s">
        <v>65</v>
      </c>
      <c r="G5" s="11" t="s">
        <v>66</v>
      </c>
      <c r="H5" s="11" t="s">
        <v>67</v>
      </c>
      <c r="I5" s="11" t="s">
        <v>68</v>
      </c>
      <c r="J5" s="11" t="s">
        <v>57</v>
      </c>
      <c r="K5" s="12" t="s">
        <v>8</v>
      </c>
      <c r="L5" s="12"/>
    </row>
    <row r="6" customFormat="false" ht="69" hidden="false" customHeight="true" outlineLevel="0" collapsed="false">
      <c r="A6" s="10" t="s">
        <v>69</v>
      </c>
      <c r="B6" s="11" t="s">
        <v>16</v>
      </c>
      <c r="C6" s="11" t="s">
        <v>42</v>
      </c>
      <c r="D6" s="10" t="s">
        <v>70</v>
      </c>
      <c r="E6" s="11" t="s">
        <v>64</v>
      </c>
      <c r="F6" s="11" t="s">
        <v>71</v>
      </c>
      <c r="G6" s="11" t="s">
        <v>72</v>
      </c>
      <c r="H6" s="11" t="s">
        <v>73</v>
      </c>
      <c r="I6" s="11" t="s">
        <v>74</v>
      </c>
      <c r="J6" s="11" t="s">
        <v>50</v>
      </c>
      <c r="K6" s="12" t="s">
        <v>8</v>
      </c>
      <c r="L6" s="12"/>
    </row>
    <row r="7" customFormat="false" ht="55.5" hidden="false" customHeight="true" outlineLevel="0" collapsed="false">
      <c r="A7" s="10" t="s">
        <v>75</v>
      </c>
      <c r="B7" s="11" t="s">
        <v>16</v>
      </c>
      <c r="C7" s="11" t="s">
        <v>76</v>
      </c>
      <c r="D7" s="10" t="s">
        <v>77</v>
      </c>
      <c r="E7" s="11" t="s">
        <v>78</v>
      </c>
      <c r="F7" s="11" t="s">
        <v>79</v>
      </c>
      <c r="G7" s="11" t="s">
        <v>80</v>
      </c>
      <c r="H7" s="11" t="s">
        <v>81</v>
      </c>
      <c r="I7" s="11" t="s">
        <v>82</v>
      </c>
      <c r="J7" s="11" t="s">
        <v>69</v>
      </c>
      <c r="K7" s="12" t="s">
        <v>8</v>
      </c>
      <c r="L7" s="12"/>
    </row>
    <row r="8" customFormat="false" ht="42.75" hidden="false" customHeight="true" outlineLevel="0" collapsed="false">
      <c r="A8" s="10" t="s">
        <v>83</v>
      </c>
      <c r="B8" s="11" t="s">
        <v>16</v>
      </c>
      <c r="C8" s="11" t="s">
        <v>84</v>
      </c>
      <c r="D8" s="10" t="s">
        <v>85</v>
      </c>
      <c r="E8" s="11" t="s">
        <v>64</v>
      </c>
      <c r="F8" s="11" t="s">
        <v>86</v>
      </c>
      <c r="G8" s="11" t="s">
        <v>87</v>
      </c>
      <c r="H8" s="11" t="s">
        <v>88</v>
      </c>
      <c r="I8" s="11" t="s">
        <v>89</v>
      </c>
      <c r="J8" s="11" t="s">
        <v>69</v>
      </c>
      <c r="K8" s="12" t="s">
        <v>8</v>
      </c>
      <c r="L8" s="12"/>
    </row>
    <row r="9" customFormat="false" ht="30" hidden="false" customHeight="true" outlineLevel="0" collapsed="false">
      <c r="A9" s="10" t="s">
        <v>90</v>
      </c>
      <c r="B9" s="11" t="s">
        <v>16</v>
      </c>
      <c r="C9" s="11" t="s">
        <v>91</v>
      </c>
      <c r="D9" s="10" t="s">
        <v>92</v>
      </c>
      <c r="E9" s="11" t="s">
        <v>64</v>
      </c>
      <c r="F9" s="11" t="s">
        <v>49</v>
      </c>
      <c r="G9" s="11" t="s">
        <v>93</v>
      </c>
      <c r="H9" s="11" t="s">
        <v>94</v>
      </c>
      <c r="I9" s="11" t="s">
        <v>95</v>
      </c>
      <c r="J9" s="11" t="s">
        <v>57</v>
      </c>
      <c r="K9" s="12" t="s">
        <v>8</v>
      </c>
      <c r="L9" s="12"/>
    </row>
    <row r="10" customFormat="false" ht="42.75" hidden="false" customHeight="true" outlineLevel="0" collapsed="false">
      <c r="A10" s="10" t="s">
        <v>96</v>
      </c>
      <c r="B10" s="11" t="s">
        <v>17</v>
      </c>
      <c r="C10" s="11" t="s">
        <v>91</v>
      </c>
      <c r="D10" s="10" t="s">
        <v>97</v>
      </c>
      <c r="E10" s="11" t="s">
        <v>52</v>
      </c>
      <c r="F10" s="11" t="s">
        <v>98</v>
      </c>
      <c r="G10" s="11" t="s">
        <v>99</v>
      </c>
      <c r="H10" s="11" t="s">
        <v>100</v>
      </c>
      <c r="I10" s="11" t="s">
        <v>101</v>
      </c>
      <c r="J10" s="11" t="s">
        <v>57</v>
      </c>
      <c r="K10" s="12" t="s">
        <v>8</v>
      </c>
      <c r="L10" s="12"/>
    </row>
    <row r="11" customFormat="false" ht="55.5" hidden="false" customHeight="true" outlineLevel="0" collapsed="false">
      <c r="A11" s="10" t="s">
        <v>102</v>
      </c>
      <c r="B11" s="11" t="s">
        <v>17</v>
      </c>
      <c r="C11" s="11" t="s">
        <v>91</v>
      </c>
      <c r="D11" s="10" t="s">
        <v>103</v>
      </c>
      <c r="E11" s="11" t="s">
        <v>52</v>
      </c>
      <c r="F11" s="11" t="s">
        <v>98</v>
      </c>
      <c r="G11" s="11" t="s">
        <v>104</v>
      </c>
      <c r="H11" s="11" t="s">
        <v>105</v>
      </c>
      <c r="I11" s="11" t="s">
        <v>106</v>
      </c>
      <c r="J11" s="11" t="s">
        <v>96</v>
      </c>
      <c r="K11" s="12" t="s">
        <v>8</v>
      </c>
      <c r="L11" s="12"/>
    </row>
    <row r="12" customFormat="false" ht="30" hidden="false" customHeight="true" outlineLevel="0" collapsed="false">
      <c r="A12" s="10" t="s">
        <v>107</v>
      </c>
      <c r="B12" s="11" t="s">
        <v>17</v>
      </c>
      <c r="C12" s="11" t="s">
        <v>91</v>
      </c>
      <c r="D12" s="10" t="s">
        <v>108</v>
      </c>
      <c r="E12" s="11" t="s">
        <v>52</v>
      </c>
      <c r="F12" s="11" t="s">
        <v>109</v>
      </c>
      <c r="G12" s="11" t="s">
        <v>110</v>
      </c>
      <c r="H12" s="11" t="s">
        <v>105</v>
      </c>
      <c r="I12" s="11" t="s">
        <v>111</v>
      </c>
      <c r="J12" s="11" t="s">
        <v>102</v>
      </c>
      <c r="K12" s="12" t="s">
        <v>8</v>
      </c>
      <c r="L12" s="12"/>
    </row>
    <row r="13" customFormat="false" ht="55.5" hidden="false" customHeight="true" outlineLevel="0" collapsed="false">
      <c r="A13" s="10" t="s">
        <v>112</v>
      </c>
      <c r="B13" s="11" t="s">
        <v>18</v>
      </c>
      <c r="C13" s="11" t="s">
        <v>91</v>
      </c>
      <c r="D13" s="10" t="s">
        <v>113</v>
      </c>
      <c r="E13" s="11" t="s">
        <v>52</v>
      </c>
      <c r="F13" s="11" t="s">
        <v>114</v>
      </c>
      <c r="G13" s="11" t="s">
        <v>115</v>
      </c>
      <c r="H13" s="11" t="s">
        <v>116</v>
      </c>
      <c r="I13" s="11" t="s">
        <v>117</v>
      </c>
      <c r="J13" s="11" t="s">
        <v>102</v>
      </c>
      <c r="K13" s="12" t="s">
        <v>8</v>
      </c>
      <c r="L13" s="12"/>
    </row>
    <row r="14" customFormat="false" ht="30" hidden="false" customHeight="true" outlineLevel="0" collapsed="false">
      <c r="A14" s="10" t="s">
        <v>118</v>
      </c>
      <c r="B14" s="11" t="s">
        <v>18</v>
      </c>
      <c r="C14" s="11" t="s">
        <v>84</v>
      </c>
      <c r="D14" s="10" t="s">
        <v>119</v>
      </c>
      <c r="E14" s="11" t="s">
        <v>52</v>
      </c>
      <c r="F14" s="11" t="s">
        <v>120</v>
      </c>
      <c r="G14" s="11" t="s">
        <v>121</v>
      </c>
      <c r="H14" s="11" t="s">
        <v>116</v>
      </c>
      <c r="I14" s="11" t="s">
        <v>122</v>
      </c>
      <c r="J14" s="11" t="s">
        <v>112</v>
      </c>
      <c r="K14" s="12" t="s">
        <v>8</v>
      </c>
      <c r="L14" s="12"/>
    </row>
    <row r="15" customFormat="false" ht="55.5" hidden="false" customHeight="true" outlineLevel="0" collapsed="false">
      <c r="A15" s="10" t="s">
        <v>123</v>
      </c>
      <c r="B15" s="11" t="s">
        <v>18</v>
      </c>
      <c r="C15" s="11" t="s">
        <v>91</v>
      </c>
      <c r="D15" s="10" t="s">
        <v>124</v>
      </c>
      <c r="E15" s="11" t="s">
        <v>52</v>
      </c>
      <c r="F15" s="11" t="s">
        <v>125</v>
      </c>
      <c r="G15" s="11" t="s">
        <v>126</v>
      </c>
      <c r="H15" s="11" t="s">
        <v>127</v>
      </c>
      <c r="I15" s="11" t="s">
        <v>128</v>
      </c>
      <c r="J15" s="11" t="s">
        <v>112</v>
      </c>
      <c r="K15" s="12" t="s">
        <v>8</v>
      </c>
      <c r="L15" s="12"/>
    </row>
    <row r="16" customFormat="false" ht="81.75" hidden="false" customHeight="true" outlineLevel="0" collapsed="false">
      <c r="A16" s="10" t="s">
        <v>129</v>
      </c>
      <c r="B16" s="11" t="s">
        <v>18</v>
      </c>
      <c r="C16" s="11" t="s">
        <v>91</v>
      </c>
      <c r="D16" s="10" t="s">
        <v>130</v>
      </c>
      <c r="E16" s="11" t="s">
        <v>131</v>
      </c>
      <c r="F16" s="11" t="s">
        <v>132</v>
      </c>
      <c r="G16" s="11" t="s">
        <v>133</v>
      </c>
      <c r="H16" s="11" t="s">
        <v>134</v>
      </c>
      <c r="I16" s="11" t="s">
        <v>135</v>
      </c>
      <c r="J16" s="11" t="s">
        <v>112</v>
      </c>
      <c r="K16" s="12" t="s">
        <v>8</v>
      </c>
      <c r="L16" s="12"/>
    </row>
    <row r="17" customFormat="false" ht="81.75" hidden="false" customHeight="true" outlineLevel="0" collapsed="false">
      <c r="A17" s="10" t="s">
        <v>136</v>
      </c>
      <c r="B17" s="11" t="s">
        <v>19</v>
      </c>
      <c r="C17" s="11" t="s">
        <v>91</v>
      </c>
      <c r="D17" s="10" t="s">
        <v>137</v>
      </c>
      <c r="E17" s="11" t="s">
        <v>138</v>
      </c>
      <c r="F17" s="11" t="s">
        <v>139</v>
      </c>
      <c r="G17" s="11" t="s">
        <v>140</v>
      </c>
      <c r="H17" s="11" t="s">
        <v>141</v>
      </c>
      <c r="I17" s="11" t="s">
        <v>142</v>
      </c>
      <c r="J17" s="11" t="s">
        <v>129</v>
      </c>
      <c r="K17" s="12" t="s">
        <v>8</v>
      </c>
      <c r="L17" s="12"/>
    </row>
    <row r="18" customFormat="false" ht="94.5" hidden="false" customHeight="true" outlineLevel="0" collapsed="false">
      <c r="A18" s="10" t="s">
        <v>143</v>
      </c>
      <c r="B18" s="11" t="s">
        <v>19</v>
      </c>
      <c r="C18" s="11" t="s">
        <v>91</v>
      </c>
      <c r="D18" s="10" t="s">
        <v>144</v>
      </c>
      <c r="E18" s="11" t="s">
        <v>138</v>
      </c>
      <c r="F18" s="11" t="s">
        <v>145</v>
      </c>
      <c r="G18" s="11" t="s">
        <v>146</v>
      </c>
      <c r="H18" s="11" t="s">
        <v>147</v>
      </c>
      <c r="I18" s="11" t="s">
        <v>148</v>
      </c>
      <c r="J18" s="11" t="s">
        <v>136</v>
      </c>
      <c r="K18" s="12" t="s">
        <v>8</v>
      </c>
      <c r="L18" s="12"/>
    </row>
    <row r="19" customFormat="false" ht="69" hidden="false" customHeight="true" outlineLevel="0" collapsed="false">
      <c r="A19" s="10" t="s">
        <v>149</v>
      </c>
      <c r="B19" s="11" t="s">
        <v>19</v>
      </c>
      <c r="C19" s="11" t="s">
        <v>76</v>
      </c>
      <c r="D19" s="10" t="s">
        <v>150</v>
      </c>
      <c r="E19" s="11" t="s">
        <v>138</v>
      </c>
      <c r="F19" s="11" t="s">
        <v>151</v>
      </c>
      <c r="G19" s="11" t="s">
        <v>152</v>
      </c>
      <c r="H19" s="11" t="s">
        <v>153</v>
      </c>
      <c r="I19" s="11" t="s">
        <v>154</v>
      </c>
      <c r="J19" s="11" t="s">
        <v>143</v>
      </c>
      <c r="K19" s="12" t="s">
        <v>8</v>
      </c>
      <c r="L19" s="12"/>
    </row>
    <row r="20" customFormat="false" ht="69" hidden="false" customHeight="true" outlineLevel="0" collapsed="false">
      <c r="A20" s="10" t="s">
        <v>155</v>
      </c>
      <c r="B20" s="11" t="s">
        <v>19</v>
      </c>
      <c r="C20" s="11" t="s">
        <v>91</v>
      </c>
      <c r="D20" s="10" t="s">
        <v>156</v>
      </c>
      <c r="E20" s="11" t="s">
        <v>138</v>
      </c>
      <c r="F20" s="11" t="s">
        <v>157</v>
      </c>
      <c r="G20" s="11" t="s">
        <v>158</v>
      </c>
      <c r="H20" s="11" t="s">
        <v>141</v>
      </c>
      <c r="I20" s="11" t="s">
        <v>159</v>
      </c>
      <c r="J20" s="11" t="s">
        <v>143</v>
      </c>
      <c r="K20" s="12" t="s">
        <v>8</v>
      </c>
      <c r="L20" s="12"/>
    </row>
    <row r="21" customFormat="false" ht="69" hidden="false" customHeight="true" outlineLevel="0" collapsed="false">
      <c r="A21" s="10" t="s">
        <v>160</v>
      </c>
      <c r="B21" s="11" t="s">
        <v>19</v>
      </c>
      <c r="C21" s="11" t="s">
        <v>76</v>
      </c>
      <c r="D21" s="10" t="s">
        <v>161</v>
      </c>
      <c r="E21" s="11" t="s">
        <v>131</v>
      </c>
      <c r="F21" s="11" t="s">
        <v>162</v>
      </c>
      <c r="G21" s="11" t="s">
        <v>163</v>
      </c>
      <c r="H21" s="11" t="s">
        <v>164</v>
      </c>
      <c r="I21" s="11" t="s">
        <v>165</v>
      </c>
      <c r="J21" s="11" t="s">
        <v>166</v>
      </c>
      <c r="K21" s="12" t="s">
        <v>8</v>
      </c>
      <c r="L21" s="12"/>
    </row>
    <row r="22" customFormat="false" ht="30" hidden="false" customHeight="true" outlineLevel="0" collapsed="false">
      <c r="A22" s="10" t="s">
        <v>167</v>
      </c>
      <c r="B22" s="11" t="s">
        <v>19</v>
      </c>
      <c r="C22" s="11" t="s">
        <v>91</v>
      </c>
      <c r="D22" s="10" t="s">
        <v>168</v>
      </c>
      <c r="E22" s="11" t="s">
        <v>169</v>
      </c>
      <c r="F22" s="11" t="s">
        <v>170</v>
      </c>
      <c r="G22" s="11" t="s">
        <v>171</v>
      </c>
      <c r="H22" s="11" t="s">
        <v>49</v>
      </c>
      <c r="I22" s="11" t="s">
        <v>172</v>
      </c>
      <c r="J22" s="11" t="s">
        <v>155</v>
      </c>
      <c r="K22" s="12" t="s">
        <v>8</v>
      </c>
      <c r="L22" s="12"/>
    </row>
    <row r="23" customFormat="false" ht="69" hidden="false" customHeight="true" outlineLevel="0" collapsed="false">
      <c r="A23" s="10" t="s">
        <v>173</v>
      </c>
      <c r="B23" s="11" t="s">
        <v>20</v>
      </c>
      <c r="C23" s="11" t="s">
        <v>91</v>
      </c>
      <c r="D23" s="10" t="s">
        <v>174</v>
      </c>
      <c r="E23" s="11" t="s">
        <v>52</v>
      </c>
      <c r="F23" s="11" t="s">
        <v>175</v>
      </c>
      <c r="G23" s="11" t="s">
        <v>176</v>
      </c>
      <c r="H23" s="11" t="s">
        <v>177</v>
      </c>
      <c r="I23" s="11" t="s">
        <v>178</v>
      </c>
      <c r="J23" s="11" t="s">
        <v>129</v>
      </c>
      <c r="K23" s="12" t="s">
        <v>8</v>
      </c>
      <c r="L23" s="12"/>
    </row>
    <row r="24" customFormat="false" ht="94.5" hidden="false" customHeight="true" outlineLevel="0" collapsed="false">
      <c r="A24" s="10" t="s">
        <v>179</v>
      </c>
      <c r="B24" s="11" t="s">
        <v>20</v>
      </c>
      <c r="C24" s="11" t="s">
        <v>91</v>
      </c>
      <c r="D24" s="10" t="s">
        <v>180</v>
      </c>
      <c r="E24" s="11" t="s">
        <v>52</v>
      </c>
      <c r="F24" s="11" t="s">
        <v>181</v>
      </c>
      <c r="G24" s="11" t="s">
        <v>182</v>
      </c>
      <c r="H24" s="11" t="s">
        <v>183</v>
      </c>
      <c r="I24" s="11" t="s">
        <v>184</v>
      </c>
      <c r="J24" s="11" t="s">
        <v>173</v>
      </c>
      <c r="K24" s="12" t="s">
        <v>8</v>
      </c>
      <c r="L24" s="12"/>
    </row>
    <row r="25" customFormat="false" ht="94.5" hidden="false" customHeight="true" outlineLevel="0" collapsed="false">
      <c r="A25" s="10" t="s">
        <v>185</v>
      </c>
      <c r="B25" s="11" t="s">
        <v>20</v>
      </c>
      <c r="C25" s="11" t="s">
        <v>91</v>
      </c>
      <c r="D25" s="10" t="s">
        <v>186</v>
      </c>
      <c r="E25" s="11" t="s">
        <v>187</v>
      </c>
      <c r="F25" s="11" t="s">
        <v>188</v>
      </c>
      <c r="G25" s="11" t="s">
        <v>189</v>
      </c>
      <c r="H25" s="11" t="s">
        <v>190</v>
      </c>
      <c r="I25" s="11" t="s">
        <v>191</v>
      </c>
      <c r="J25" s="11" t="s">
        <v>173</v>
      </c>
      <c r="K25" s="12" t="s">
        <v>8</v>
      </c>
      <c r="L25" s="12"/>
    </row>
    <row r="26" customFormat="false" ht="42.75" hidden="false" customHeight="true" outlineLevel="0" collapsed="false">
      <c r="A26" s="10" t="s">
        <v>192</v>
      </c>
      <c r="B26" s="11" t="s">
        <v>20</v>
      </c>
      <c r="C26" s="11" t="s">
        <v>76</v>
      </c>
      <c r="D26" s="10" t="s">
        <v>193</v>
      </c>
      <c r="E26" s="11" t="s">
        <v>52</v>
      </c>
      <c r="F26" s="11" t="s">
        <v>194</v>
      </c>
      <c r="G26" s="11" t="s">
        <v>195</v>
      </c>
      <c r="H26" s="11" t="s">
        <v>196</v>
      </c>
      <c r="I26" s="11" t="s">
        <v>197</v>
      </c>
      <c r="J26" s="11" t="s">
        <v>173</v>
      </c>
      <c r="K26" s="12" t="s">
        <v>8</v>
      </c>
      <c r="L26" s="12"/>
    </row>
    <row r="27" customFormat="false" ht="30" hidden="false" customHeight="true" outlineLevel="0" collapsed="false">
      <c r="A27" s="10" t="s">
        <v>198</v>
      </c>
      <c r="B27" s="11" t="s">
        <v>20</v>
      </c>
      <c r="C27" s="11" t="s">
        <v>91</v>
      </c>
      <c r="D27" s="10" t="s">
        <v>199</v>
      </c>
      <c r="E27" s="11" t="s">
        <v>187</v>
      </c>
      <c r="F27" s="11" t="s">
        <v>200</v>
      </c>
      <c r="G27" s="11" t="s">
        <v>201</v>
      </c>
      <c r="H27" s="11" t="s">
        <v>202</v>
      </c>
      <c r="I27" s="11" t="s">
        <v>203</v>
      </c>
      <c r="J27" s="11" t="s">
        <v>173</v>
      </c>
      <c r="K27" s="12" t="s">
        <v>8</v>
      </c>
      <c r="L27" s="12"/>
    </row>
    <row r="28" customFormat="false" ht="16.5" hidden="false" customHeight="true" outlineLevel="0" collapsed="false">
      <c r="A28" s="10" t="s">
        <v>204</v>
      </c>
      <c r="B28" s="11" t="s">
        <v>20</v>
      </c>
      <c r="C28" s="11" t="s">
        <v>91</v>
      </c>
      <c r="D28" s="10" t="s">
        <v>205</v>
      </c>
      <c r="E28" s="11" t="s">
        <v>52</v>
      </c>
      <c r="F28" s="11" t="s">
        <v>206</v>
      </c>
      <c r="G28" s="11" t="s">
        <v>207</v>
      </c>
      <c r="H28" s="11" t="s">
        <v>202</v>
      </c>
      <c r="I28" s="11" t="s">
        <v>208</v>
      </c>
      <c r="J28" s="11" t="s">
        <v>173</v>
      </c>
      <c r="K28" s="12" t="s">
        <v>8</v>
      </c>
      <c r="L28" s="12"/>
    </row>
    <row r="29" customFormat="false" ht="94.5" hidden="false" customHeight="true" outlineLevel="0" collapsed="false">
      <c r="A29" s="10" t="s">
        <v>209</v>
      </c>
      <c r="B29" s="11" t="s">
        <v>20</v>
      </c>
      <c r="C29" s="11" t="s">
        <v>76</v>
      </c>
      <c r="D29" s="10" t="s">
        <v>210</v>
      </c>
      <c r="E29" s="11" t="s">
        <v>52</v>
      </c>
      <c r="F29" s="11" t="s">
        <v>211</v>
      </c>
      <c r="G29" s="11" t="s">
        <v>212</v>
      </c>
      <c r="H29" s="11" t="s">
        <v>213</v>
      </c>
      <c r="I29" s="11" t="s">
        <v>214</v>
      </c>
      <c r="J29" s="11" t="s">
        <v>215</v>
      </c>
      <c r="K29" s="12" t="s">
        <v>8</v>
      </c>
      <c r="L29" s="12"/>
    </row>
    <row r="30" customFormat="false" ht="69" hidden="false" customHeight="true" outlineLevel="0" collapsed="false">
      <c r="A30" s="10" t="s">
        <v>216</v>
      </c>
      <c r="B30" s="11" t="s">
        <v>21</v>
      </c>
      <c r="C30" s="11" t="s">
        <v>76</v>
      </c>
      <c r="D30" s="10" t="s">
        <v>217</v>
      </c>
      <c r="E30" s="11" t="s">
        <v>52</v>
      </c>
      <c r="F30" s="11" t="s">
        <v>218</v>
      </c>
      <c r="G30" s="11" t="s">
        <v>219</v>
      </c>
      <c r="H30" s="11" t="s">
        <v>220</v>
      </c>
      <c r="I30" s="11" t="s">
        <v>221</v>
      </c>
      <c r="J30" s="11" t="s">
        <v>173</v>
      </c>
      <c r="K30" s="12" t="s">
        <v>8</v>
      </c>
      <c r="L30" s="12"/>
    </row>
    <row r="31" customFormat="false" ht="69" hidden="false" customHeight="true" outlineLevel="0" collapsed="false">
      <c r="A31" s="10" t="s">
        <v>222</v>
      </c>
      <c r="B31" s="11" t="s">
        <v>21</v>
      </c>
      <c r="C31" s="11" t="s">
        <v>76</v>
      </c>
      <c r="D31" s="10" t="s">
        <v>223</v>
      </c>
      <c r="E31" s="11" t="s">
        <v>52</v>
      </c>
      <c r="F31" s="11" t="s">
        <v>224</v>
      </c>
      <c r="G31" s="11" t="s">
        <v>225</v>
      </c>
      <c r="H31" s="11" t="s">
        <v>202</v>
      </c>
      <c r="I31" s="11" t="s">
        <v>226</v>
      </c>
      <c r="J31" s="11" t="s">
        <v>216</v>
      </c>
      <c r="K31" s="12" t="s">
        <v>8</v>
      </c>
      <c r="L31" s="12"/>
    </row>
    <row r="32" customFormat="false" ht="42.75" hidden="false" customHeight="true" outlineLevel="0" collapsed="false">
      <c r="A32" s="10" t="s">
        <v>227</v>
      </c>
      <c r="B32" s="11" t="s">
        <v>22</v>
      </c>
      <c r="C32" s="11" t="s">
        <v>76</v>
      </c>
      <c r="D32" s="10" t="s">
        <v>228</v>
      </c>
      <c r="E32" s="11" t="s">
        <v>52</v>
      </c>
      <c r="F32" s="11" t="s">
        <v>229</v>
      </c>
      <c r="G32" s="11" t="s">
        <v>230</v>
      </c>
      <c r="H32" s="11" t="s">
        <v>231</v>
      </c>
      <c r="I32" s="11" t="s">
        <v>232</v>
      </c>
      <c r="J32" s="11" t="s">
        <v>41</v>
      </c>
      <c r="K32" s="12" t="s">
        <v>8</v>
      </c>
      <c r="L32" s="12"/>
    </row>
    <row r="33" customFormat="false" ht="42.75" hidden="false" customHeight="true" outlineLevel="0" collapsed="false">
      <c r="A33" s="10" t="s">
        <v>233</v>
      </c>
      <c r="B33" s="11" t="s">
        <v>22</v>
      </c>
      <c r="C33" s="11" t="s">
        <v>76</v>
      </c>
      <c r="D33" s="10" t="s">
        <v>234</v>
      </c>
      <c r="E33" s="11" t="s">
        <v>52</v>
      </c>
      <c r="F33" s="11" t="s">
        <v>235</v>
      </c>
      <c r="G33" s="11" t="s">
        <v>236</v>
      </c>
      <c r="H33" s="11" t="s">
        <v>237</v>
      </c>
      <c r="I33" s="11" t="s">
        <v>238</v>
      </c>
      <c r="J33" s="11" t="s">
        <v>41</v>
      </c>
      <c r="K33" s="12" t="s">
        <v>8</v>
      </c>
      <c r="L33" s="12"/>
    </row>
    <row r="34" customFormat="false" ht="69" hidden="false" customHeight="true" outlineLevel="0" collapsed="false">
      <c r="A34" s="10" t="s">
        <v>239</v>
      </c>
      <c r="B34" s="11" t="s">
        <v>23</v>
      </c>
      <c r="C34" s="11" t="s">
        <v>76</v>
      </c>
      <c r="D34" s="10" t="s">
        <v>240</v>
      </c>
      <c r="E34" s="11" t="s">
        <v>52</v>
      </c>
      <c r="F34" s="11" t="s">
        <v>241</v>
      </c>
      <c r="G34" s="11" t="s">
        <v>242</v>
      </c>
      <c r="H34" s="11" t="s">
        <v>243</v>
      </c>
      <c r="I34" s="11" t="s">
        <v>244</v>
      </c>
      <c r="J34" s="11" t="s">
        <v>57</v>
      </c>
      <c r="K34" s="12" t="s">
        <v>8</v>
      </c>
      <c r="L34" s="12"/>
    </row>
    <row r="35" customFormat="false" ht="94.5" hidden="false" customHeight="true" outlineLevel="0" collapsed="false">
      <c r="A35" s="10" t="s">
        <v>245</v>
      </c>
      <c r="B35" s="11" t="s">
        <v>23</v>
      </c>
      <c r="C35" s="11" t="s">
        <v>76</v>
      </c>
      <c r="D35" s="10" t="s">
        <v>246</v>
      </c>
      <c r="E35" s="11" t="s">
        <v>52</v>
      </c>
      <c r="F35" s="11" t="s">
        <v>235</v>
      </c>
      <c r="G35" s="11" t="s">
        <v>247</v>
      </c>
      <c r="H35" s="11" t="s">
        <v>248</v>
      </c>
      <c r="I35" s="11" t="s">
        <v>249</v>
      </c>
      <c r="J35" s="11" t="s">
        <v>239</v>
      </c>
      <c r="K35" s="12" t="s">
        <v>8</v>
      </c>
      <c r="L35" s="12"/>
    </row>
    <row r="36" customFormat="false" ht="42.75" hidden="false" customHeight="true" outlineLevel="0" collapsed="false">
      <c r="A36" s="10" t="s">
        <v>250</v>
      </c>
      <c r="B36" s="11" t="s">
        <v>23</v>
      </c>
      <c r="C36" s="11" t="s">
        <v>76</v>
      </c>
      <c r="D36" s="10" t="s">
        <v>251</v>
      </c>
      <c r="E36" s="11" t="s">
        <v>131</v>
      </c>
      <c r="F36" s="11" t="s">
        <v>252</v>
      </c>
      <c r="G36" s="11" t="s">
        <v>253</v>
      </c>
      <c r="H36" s="11" t="s">
        <v>254</v>
      </c>
      <c r="I36" s="11" t="s">
        <v>255</v>
      </c>
      <c r="J36" s="11" t="s">
        <v>256</v>
      </c>
      <c r="K36" s="12" t="s">
        <v>8</v>
      </c>
      <c r="L36" s="12"/>
    </row>
    <row r="37" customFormat="false" ht="55.5" hidden="false" customHeight="true" outlineLevel="0" collapsed="false">
      <c r="A37" s="10" t="s">
        <v>257</v>
      </c>
      <c r="B37" s="11" t="s">
        <v>24</v>
      </c>
      <c r="C37" s="11" t="s">
        <v>76</v>
      </c>
      <c r="D37" s="10" t="s">
        <v>258</v>
      </c>
      <c r="E37" s="11" t="s">
        <v>131</v>
      </c>
      <c r="F37" s="11" t="s">
        <v>259</v>
      </c>
      <c r="G37" s="11" t="s">
        <v>260</v>
      </c>
      <c r="H37" s="11" t="s">
        <v>261</v>
      </c>
      <c r="I37" s="11" t="s">
        <v>262</v>
      </c>
      <c r="J37" s="11" t="s">
        <v>75</v>
      </c>
      <c r="K37" s="12" t="s">
        <v>8</v>
      </c>
      <c r="L37" s="12"/>
    </row>
    <row r="38" customFormat="false" ht="69" hidden="false" customHeight="true" outlineLevel="0" collapsed="false">
      <c r="A38" s="10" t="s">
        <v>263</v>
      </c>
      <c r="B38" s="11" t="s">
        <v>24</v>
      </c>
      <c r="C38" s="11" t="s">
        <v>76</v>
      </c>
      <c r="D38" s="10" t="s">
        <v>264</v>
      </c>
      <c r="E38" s="11" t="s">
        <v>52</v>
      </c>
      <c r="F38" s="11" t="s">
        <v>98</v>
      </c>
      <c r="G38" s="11" t="s">
        <v>265</v>
      </c>
      <c r="H38" s="11" t="s">
        <v>266</v>
      </c>
      <c r="I38" s="11" t="s">
        <v>267</v>
      </c>
      <c r="J38" s="11" t="s">
        <v>257</v>
      </c>
      <c r="K38" s="12" t="s">
        <v>8</v>
      </c>
      <c r="L38" s="12"/>
    </row>
    <row r="39" customFormat="false" ht="30" hidden="false" customHeight="true" outlineLevel="0" collapsed="false">
      <c r="A39" s="10" t="s">
        <v>268</v>
      </c>
      <c r="B39" s="11" t="s">
        <v>24</v>
      </c>
      <c r="C39" s="11" t="s">
        <v>76</v>
      </c>
      <c r="D39" s="10" t="s">
        <v>269</v>
      </c>
      <c r="E39" s="11" t="s">
        <v>64</v>
      </c>
      <c r="F39" s="11" t="s">
        <v>98</v>
      </c>
      <c r="G39" s="11" t="s">
        <v>270</v>
      </c>
      <c r="H39" s="11" t="s">
        <v>266</v>
      </c>
      <c r="I39" s="11" t="s">
        <v>49</v>
      </c>
      <c r="J39" s="11" t="s">
        <v>257</v>
      </c>
      <c r="K39" s="12" t="s">
        <v>8</v>
      </c>
      <c r="L39" s="12"/>
    </row>
    <row r="40" customFormat="false" ht="30" hidden="false" customHeight="true" outlineLevel="0" collapsed="false">
      <c r="A40" s="10" t="s">
        <v>271</v>
      </c>
      <c r="B40" s="11" t="s">
        <v>24</v>
      </c>
      <c r="C40" s="11" t="s">
        <v>76</v>
      </c>
      <c r="D40" s="10" t="s">
        <v>272</v>
      </c>
      <c r="E40" s="11" t="s">
        <v>273</v>
      </c>
      <c r="F40" s="11" t="s">
        <v>274</v>
      </c>
      <c r="G40" s="11" t="s">
        <v>275</v>
      </c>
      <c r="H40" s="11" t="s">
        <v>254</v>
      </c>
      <c r="I40" s="11" t="s">
        <v>276</v>
      </c>
      <c r="J40" s="11" t="s">
        <v>257</v>
      </c>
      <c r="K40" s="12" t="s">
        <v>8</v>
      </c>
      <c r="L40" s="12"/>
    </row>
    <row r="41" customFormat="false" ht="55.5" hidden="false" customHeight="true" outlineLevel="0" collapsed="false">
      <c r="A41" s="10" t="s">
        <v>277</v>
      </c>
      <c r="B41" s="11" t="s">
        <v>24</v>
      </c>
      <c r="C41" s="11" t="s">
        <v>76</v>
      </c>
      <c r="D41" s="10" t="s">
        <v>278</v>
      </c>
      <c r="E41" s="11" t="s">
        <v>64</v>
      </c>
      <c r="F41" s="11" t="s">
        <v>279</v>
      </c>
      <c r="G41" s="11" t="s">
        <v>280</v>
      </c>
      <c r="H41" s="11" t="s">
        <v>266</v>
      </c>
      <c r="I41" s="11" t="s">
        <v>281</v>
      </c>
      <c r="J41" s="11" t="s">
        <v>282</v>
      </c>
      <c r="K41" s="12" t="s">
        <v>8</v>
      </c>
      <c r="L41" s="12"/>
    </row>
    <row r="42" customFormat="false" ht="30" hidden="false" customHeight="true" outlineLevel="0" collapsed="false">
      <c r="A42" s="10" t="s">
        <v>283</v>
      </c>
      <c r="B42" s="11" t="s">
        <v>24</v>
      </c>
      <c r="C42" s="11" t="s">
        <v>84</v>
      </c>
      <c r="D42" s="10" t="s">
        <v>284</v>
      </c>
      <c r="E42" s="11" t="s">
        <v>64</v>
      </c>
      <c r="F42" s="11" t="s">
        <v>285</v>
      </c>
      <c r="G42" s="11" t="s">
        <v>286</v>
      </c>
      <c r="H42" s="11" t="s">
        <v>254</v>
      </c>
      <c r="I42" s="11" t="s">
        <v>287</v>
      </c>
      <c r="J42" s="11" t="s">
        <v>257</v>
      </c>
      <c r="K42" s="12" t="s">
        <v>8</v>
      </c>
      <c r="L42" s="12"/>
    </row>
    <row r="43" customFormat="false" ht="16.5" hidden="false" customHeight="true" outlineLevel="0" collapsed="false">
      <c r="A43" s="10" t="s">
        <v>288</v>
      </c>
      <c r="B43" s="11" t="s">
        <v>24</v>
      </c>
      <c r="C43" s="11" t="s">
        <v>76</v>
      </c>
      <c r="D43" s="10" t="s">
        <v>289</v>
      </c>
      <c r="E43" s="11" t="s">
        <v>131</v>
      </c>
      <c r="F43" s="11" t="s">
        <v>290</v>
      </c>
      <c r="G43" s="11" t="s">
        <v>291</v>
      </c>
      <c r="H43" s="11" t="s">
        <v>292</v>
      </c>
      <c r="I43" s="11" t="s">
        <v>293</v>
      </c>
      <c r="J43" s="11" t="s">
        <v>75</v>
      </c>
      <c r="K43" s="12" t="s">
        <v>8</v>
      </c>
      <c r="L43" s="12"/>
    </row>
    <row r="44" customFormat="false" ht="30" hidden="false" customHeight="true" outlineLevel="0" collapsed="false">
      <c r="A44" s="10" t="s">
        <v>294</v>
      </c>
      <c r="B44" s="11" t="s">
        <v>25</v>
      </c>
      <c r="C44" s="11" t="s">
        <v>76</v>
      </c>
      <c r="D44" s="10" t="s">
        <v>295</v>
      </c>
      <c r="E44" s="11" t="s">
        <v>296</v>
      </c>
      <c r="F44" s="11" t="s">
        <v>297</v>
      </c>
      <c r="G44" s="11" t="s">
        <v>298</v>
      </c>
      <c r="H44" s="11" t="s">
        <v>81</v>
      </c>
      <c r="I44" s="11" t="s">
        <v>299</v>
      </c>
      <c r="J44" s="11" t="s">
        <v>75</v>
      </c>
      <c r="K44" s="12" t="s">
        <v>8</v>
      </c>
      <c r="L44" s="12"/>
    </row>
    <row r="45" customFormat="false" ht="42.75" hidden="false" customHeight="true" outlineLevel="0" collapsed="false">
      <c r="A45" s="10" t="s">
        <v>300</v>
      </c>
      <c r="B45" s="11" t="s">
        <v>25</v>
      </c>
      <c r="C45" s="11" t="s">
        <v>76</v>
      </c>
      <c r="D45" s="10" t="s">
        <v>301</v>
      </c>
      <c r="E45" s="11" t="s">
        <v>131</v>
      </c>
      <c r="F45" s="11" t="s">
        <v>302</v>
      </c>
      <c r="G45" s="11" t="s">
        <v>303</v>
      </c>
      <c r="H45" s="11" t="s">
        <v>304</v>
      </c>
      <c r="I45" s="11" t="s">
        <v>305</v>
      </c>
      <c r="J45" s="11" t="s">
        <v>306</v>
      </c>
      <c r="K45" s="12" t="s">
        <v>8</v>
      </c>
      <c r="L45" s="12"/>
    </row>
    <row r="46" customFormat="false" ht="30" hidden="false" customHeight="true" outlineLevel="0" collapsed="false">
      <c r="A46" s="10" t="s">
        <v>307</v>
      </c>
      <c r="B46" s="11" t="s">
        <v>25</v>
      </c>
      <c r="C46" s="11" t="s">
        <v>76</v>
      </c>
      <c r="D46" s="10" t="s">
        <v>308</v>
      </c>
      <c r="E46" s="11" t="s">
        <v>64</v>
      </c>
      <c r="F46" s="11" t="s">
        <v>309</v>
      </c>
      <c r="G46" s="11" t="s">
        <v>310</v>
      </c>
      <c r="H46" s="11" t="s">
        <v>304</v>
      </c>
      <c r="I46" s="11" t="s">
        <v>311</v>
      </c>
      <c r="J46" s="11" t="s">
        <v>300</v>
      </c>
      <c r="K46" s="12" t="s">
        <v>8</v>
      </c>
      <c r="L46" s="12"/>
    </row>
    <row r="47" customFormat="false" ht="30" hidden="false" customHeight="true" outlineLevel="0" collapsed="false">
      <c r="A47" s="10" t="s">
        <v>312</v>
      </c>
      <c r="B47" s="11" t="s">
        <v>25</v>
      </c>
      <c r="C47" s="11" t="s">
        <v>84</v>
      </c>
      <c r="D47" s="10" t="s">
        <v>313</v>
      </c>
      <c r="E47" s="11" t="s">
        <v>314</v>
      </c>
      <c r="F47" s="11" t="s">
        <v>98</v>
      </c>
      <c r="G47" s="11" t="s">
        <v>315</v>
      </c>
      <c r="H47" s="11" t="s">
        <v>304</v>
      </c>
      <c r="I47" s="11" t="s">
        <v>316</v>
      </c>
      <c r="J47" s="11" t="s">
        <v>300</v>
      </c>
      <c r="K47" s="12" t="s">
        <v>8</v>
      </c>
      <c r="L47" s="12"/>
    </row>
    <row r="48" customFormat="false" ht="30" hidden="false" customHeight="true" outlineLevel="0" collapsed="false">
      <c r="A48" s="10" t="s">
        <v>317</v>
      </c>
      <c r="B48" s="11" t="s">
        <v>26</v>
      </c>
      <c r="C48" s="11" t="s">
        <v>76</v>
      </c>
      <c r="D48" s="10" t="s">
        <v>318</v>
      </c>
      <c r="E48" s="11" t="s">
        <v>131</v>
      </c>
      <c r="F48" s="11" t="s">
        <v>319</v>
      </c>
      <c r="G48" s="11" t="s">
        <v>320</v>
      </c>
      <c r="H48" s="11" t="s">
        <v>321</v>
      </c>
      <c r="I48" s="11" t="s">
        <v>322</v>
      </c>
      <c r="J48" s="11" t="s">
        <v>323</v>
      </c>
      <c r="K48" s="12" t="s">
        <v>8</v>
      </c>
      <c r="L48" s="12"/>
    </row>
    <row r="49" customFormat="false" ht="16.5" hidden="false" customHeight="true" outlineLevel="0" collapsed="false">
      <c r="A49" s="10" t="s">
        <v>324</v>
      </c>
      <c r="B49" s="11" t="s">
        <v>26</v>
      </c>
      <c r="C49" s="11" t="s">
        <v>76</v>
      </c>
      <c r="D49" s="10" t="s">
        <v>325</v>
      </c>
      <c r="E49" s="11" t="s">
        <v>131</v>
      </c>
      <c r="F49" s="11" t="s">
        <v>326</v>
      </c>
      <c r="G49" s="11" t="s">
        <v>327</v>
      </c>
      <c r="H49" s="11" t="s">
        <v>304</v>
      </c>
      <c r="I49" s="11" t="s">
        <v>328</v>
      </c>
      <c r="J49" s="11" t="s">
        <v>294</v>
      </c>
      <c r="K49" s="12" t="s">
        <v>8</v>
      </c>
      <c r="L49" s="12"/>
    </row>
    <row r="50" customFormat="false" ht="42.75" hidden="false" customHeight="true" outlineLevel="0" collapsed="false">
      <c r="A50" s="10" t="s">
        <v>329</v>
      </c>
      <c r="B50" s="11" t="s">
        <v>27</v>
      </c>
      <c r="C50" s="11" t="s">
        <v>84</v>
      </c>
      <c r="D50" s="10" t="s">
        <v>330</v>
      </c>
      <c r="E50" s="11" t="s">
        <v>131</v>
      </c>
      <c r="F50" s="11" t="s">
        <v>331</v>
      </c>
      <c r="G50" s="11" t="s">
        <v>332</v>
      </c>
      <c r="H50" s="11" t="s">
        <v>49</v>
      </c>
      <c r="I50" s="11" t="s">
        <v>333</v>
      </c>
      <c r="J50" s="11" t="s">
        <v>334</v>
      </c>
      <c r="K50" s="12" t="s">
        <v>8</v>
      </c>
      <c r="L50" s="12"/>
    </row>
    <row r="51" customFormat="false" ht="69" hidden="false" customHeight="true" outlineLevel="0" collapsed="false">
      <c r="A51" s="10" t="s">
        <v>334</v>
      </c>
      <c r="B51" s="11" t="s">
        <v>27</v>
      </c>
      <c r="C51" s="11" t="s">
        <v>91</v>
      </c>
      <c r="D51" s="10" t="s">
        <v>335</v>
      </c>
      <c r="E51" s="11" t="s">
        <v>131</v>
      </c>
      <c r="F51" s="11" t="s">
        <v>336</v>
      </c>
      <c r="G51" s="11" t="s">
        <v>337</v>
      </c>
      <c r="H51" s="11" t="s">
        <v>338</v>
      </c>
      <c r="I51" s="11" t="s">
        <v>339</v>
      </c>
      <c r="J51" s="11" t="s">
        <v>41</v>
      </c>
      <c r="K51" s="12" t="s">
        <v>8</v>
      </c>
      <c r="L51" s="12"/>
    </row>
  </sheetData>
  <autoFilter ref="A1:L51"/>
  <conditionalFormatting sqref="K2:K51">
    <cfRule type="expression" priority="2" aboveAverage="0" equalAverage="0" bottom="0" percent="0" rank="0" text="" dxfId="4">
      <formula>$K2="Done"</formula>
    </cfRule>
    <cfRule type="expression" priority="3" aboveAverage="0" equalAverage="0" bottom="0" percent="0" rank="0" text="" dxfId="5">
      <formula>$K2="In progress"</formula>
    </cfRule>
    <cfRule type="expression" priority="4" aboveAverage="0" equalAverage="0" bottom="0" percent="0" rank="0" text="" dxfId="6">
      <formula>$K2="Blocked"</formula>
    </cfRule>
  </conditionalFormatting>
  <dataValidations count="1">
    <dataValidation allowBlank="false" error="Pick a status from the list" errorStyle="stop" operator="between" showDropDown="false" showErrorMessage="false" showInputMessage="false" sqref="K2:K51" type="list">
      <formula1>"To do,In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340</v>
      </c>
      <c r="B1" s="5" t="s">
        <v>341</v>
      </c>
      <c r="C1" s="5" t="s">
        <v>342</v>
      </c>
      <c r="D1" s="5" t="s">
        <v>343</v>
      </c>
      <c r="E1" s="5" t="s">
        <v>39</v>
      </c>
      <c r="F1" s="5" t="s">
        <v>40</v>
      </c>
    </row>
    <row r="2" customFormat="false" ht="30" hidden="false" customHeight="true" outlineLevel="0" collapsed="false">
      <c r="A2" s="11" t="n">
        <v>1</v>
      </c>
      <c r="B2" s="10" t="s">
        <v>344</v>
      </c>
      <c r="C2" s="11" t="s">
        <v>345</v>
      </c>
      <c r="D2" s="11" t="s">
        <v>346</v>
      </c>
      <c r="E2" s="12" t="s">
        <v>8</v>
      </c>
      <c r="F2" s="12"/>
    </row>
    <row r="3" customFormat="false" ht="42.75" hidden="false" customHeight="true" outlineLevel="0" collapsed="false">
      <c r="A3" s="11" t="n">
        <v>2</v>
      </c>
      <c r="B3" s="10" t="s">
        <v>347</v>
      </c>
      <c r="C3" s="11" t="s">
        <v>348</v>
      </c>
      <c r="D3" s="11" t="s">
        <v>349</v>
      </c>
      <c r="E3" s="12" t="s">
        <v>8</v>
      </c>
      <c r="F3" s="12"/>
    </row>
    <row r="4" customFormat="false" ht="16.5" hidden="false" customHeight="true" outlineLevel="0" collapsed="false">
      <c r="A4" s="11" t="n">
        <v>3</v>
      </c>
      <c r="B4" s="10" t="s">
        <v>350</v>
      </c>
      <c r="C4" s="11" t="s">
        <v>351</v>
      </c>
      <c r="D4" s="11" t="s">
        <v>352</v>
      </c>
      <c r="E4" s="12" t="s">
        <v>8</v>
      </c>
      <c r="F4" s="12"/>
    </row>
    <row r="5" customFormat="false" ht="16.5" hidden="false" customHeight="true" outlineLevel="0" collapsed="false">
      <c r="A5" s="11" t="n">
        <v>4</v>
      </c>
      <c r="B5" s="10" t="s">
        <v>353</v>
      </c>
      <c r="C5" s="11" t="s">
        <v>354</v>
      </c>
      <c r="D5" s="11" t="s">
        <v>355</v>
      </c>
      <c r="E5" s="12" t="s">
        <v>8</v>
      </c>
      <c r="F5" s="12"/>
    </row>
    <row r="6" customFormat="false" ht="30" hidden="false" customHeight="true" outlineLevel="0" collapsed="false">
      <c r="A6" s="11" t="n">
        <v>5</v>
      </c>
      <c r="B6" s="10" t="s">
        <v>356</v>
      </c>
      <c r="C6" s="11" t="s">
        <v>357</v>
      </c>
      <c r="D6" s="11" t="s">
        <v>358</v>
      </c>
      <c r="E6" s="12" t="s">
        <v>8</v>
      </c>
      <c r="F6" s="12"/>
    </row>
    <row r="7" customFormat="false" ht="16.5" hidden="false" customHeight="true" outlineLevel="0" collapsed="false">
      <c r="A7" s="11" t="n">
        <v>6</v>
      </c>
      <c r="B7" s="10" t="s">
        <v>359</v>
      </c>
      <c r="C7" s="11" t="s">
        <v>360</v>
      </c>
      <c r="D7" s="11" t="s">
        <v>361</v>
      </c>
      <c r="E7" s="12" t="s">
        <v>8</v>
      </c>
      <c r="F7" s="12"/>
    </row>
    <row r="8" customFormat="false" ht="30" hidden="false" customHeight="true" outlineLevel="0" collapsed="false">
      <c r="A8" s="11" t="n">
        <v>7</v>
      </c>
      <c r="B8" s="10" t="s">
        <v>362</v>
      </c>
      <c r="C8" s="11" t="s">
        <v>363</v>
      </c>
      <c r="D8" s="11" t="s">
        <v>364</v>
      </c>
      <c r="E8" s="12" t="s">
        <v>8</v>
      </c>
      <c r="F8" s="12"/>
    </row>
    <row r="9" customFormat="false" ht="42.75" hidden="false" customHeight="true" outlineLevel="0" collapsed="false">
      <c r="A9" s="11" t="n">
        <v>8</v>
      </c>
      <c r="B9" s="10" t="s">
        <v>365</v>
      </c>
      <c r="C9" s="11" t="s">
        <v>366</v>
      </c>
      <c r="D9" s="11" t="s">
        <v>367</v>
      </c>
      <c r="E9" s="12" t="s">
        <v>8</v>
      </c>
      <c r="F9" s="12"/>
    </row>
    <row r="10" customFormat="false" ht="30" hidden="false" customHeight="true" outlineLevel="0" collapsed="false">
      <c r="A10" s="11" t="n">
        <v>9</v>
      </c>
      <c r="B10" s="10" t="s">
        <v>368</v>
      </c>
      <c r="C10" s="11" t="s">
        <v>369</v>
      </c>
      <c r="D10" s="11" t="s">
        <v>370</v>
      </c>
      <c r="E10" s="12" t="s">
        <v>8</v>
      </c>
      <c r="F10" s="12"/>
    </row>
    <row r="11" customFormat="false" ht="30" hidden="false" customHeight="true" outlineLevel="0" collapsed="false">
      <c r="A11" s="11" t="n">
        <v>10</v>
      </c>
      <c r="B11" s="10" t="s">
        <v>371</v>
      </c>
      <c r="C11" s="11" t="s">
        <v>372</v>
      </c>
      <c r="D11" s="11" t="s">
        <v>334</v>
      </c>
      <c r="E11" s="12" t="s">
        <v>8</v>
      </c>
      <c r="F11" s="12"/>
    </row>
    <row r="12" customFormat="false" ht="30" hidden="false" customHeight="true" outlineLevel="0" collapsed="false">
      <c r="A12" s="11" t="n">
        <v>11</v>
      </c>
      <c r="B12" s="10" t="s">
        <v>373</v>
      </c>
      <c r="C12" s="11" t="s">
        <v>374</v>
      </c>
      <c r="D12" s="11" t="s">
        <v>179</v>
      </c>
      <c r="E12" s="12" t="s">
        <v>8</v>
      </c>
      <c r="F12" s="12"/>
    </row>
    <row r="13" customFormat="false" ht="16.5" hidden="false" customHeight="true" outlineLevel="0" collapsed="false">
      <c r="A13" s="11" t="n">
        <v>12</v>
      </c>
      <c r="B13" s="10" t="s">
        <v>375</v>
      </c>
      <c r="C13" s="11" t="s">
        <v>376</v>
      </c>
      <c r="D13" s="11" t="s">
        <v>185</v>
      </c>
      <c r="E13" s="12" t="s">
        <v>8</v>
      </c>
      <c r="F13" s="12"/>
    </row>
    <row r="14" customFormat="false" ht="16.5" hidden="false" customHeight="true" outlineLevel="0" collapsed="false">
      <c r="A14" s="11" t="n">
        <v>13</v>
      </c>
      <c r="B14" s="10" t="s">
        <v>377</v>
      </c>
      <c r="C14" s="11" t="s">
        <v>378</v>
      </c>
      <c r="D14" s="11" t="s">
        <v>379</v>
      </c>
      <c r="E14" s="12" t="s">
        <v>8</v>
      </c>
      <c r="F14" s="12"/>
    </row>
    <row r="15" customFormat="false" ht="16.5" hidden="false" customHeight="true" outlineLevel="0" collapsed="false">
      <c r="A15" s="11" t="n">
        <v>14</v>
      </c>
      <c r="B15" s="10" t="s">
        <v>380</v>
      </c>
      <c r="C15" s="11" t="s">
        <v>381</v>
      </c>
      <c r="D15" s="11" t="s">
        <v>204</v>
      </c>
      <c r="E15" s="12" t="s">
        <v>8</v>
      </c>
      <c r="F15" s="12"/>
    </row>
    <row r="16" customFormat="false" ht="30" hidden="false" customHeight="true" outlineLevel="0" collapsed="false">
      <c r="A16" s="11" t="n">
        <v>15</v>
      </c>
      <c r="B16" s="10" t="s">
        <v>382</v>
      </c>
      <c r="C16" s="11" t="s">
        <v>383</v>
      </c>
      <c r="D16" s="11" t="s">
        <v>384</v>
      </c>
      <c r="E16" s="12" t="s">
        <v>8</v>
      </c>
      <c r="F16" s="12"/>
    </row>
    <row r="17" customFormat="false" ht="16.5" hidden="false" customHeight="true" outlineLevel="0" collapsed="false">
      <c r="A17" s="11" t="n">
        <v>16</v>
      </c>
      <c r="B17" s="10" t="s">
        <v>385</v>
      </c>
      <c r="C17" s="11" t="s">
        <v>386</v>
      </c>
      <c r="D17" s="11" t="s">
        <v>387</v>
      </c>
      <c r="E17" s="12" t="s">
        <v>8</v>
      </c>
      <c r="F17" s="12"/>
    </row>
    <row r="18" customFormat="false" ht="16.5" hidden="false" customHeight="true" outlineLevel="0" collapsed="false">
      <c r="A18" s="11" t="n">
        <v>17</v>
      </c>
      <c r="B18" s="10" t="s">
        <v>388</v>
      </c>
      <c r="C18" s="11" t="s">
        <v>389</v>
      </c>
      <c r="D18" s="11" t="s">
        <v>390</v>
      </c>
      <c r="E18" s="12" t="s">
        <v>8</v>
      </c>
      <c r="F18" s="12"/>
    </row>
    <row r="19" customFormat="false" ht="16.5" hidden="false" customHeight="true" outlineLevel="0" collapsed="false">
      <c r="A19" s="11" t="n">
        <v>18</v>
      </c>
      <c r="B19" s="10" t="s">
        <v>391</v>
      </c>
      <c r="C19" s="11" t="s">
        <v>392</v>
      </c>
      <c r="D19" s="11" t="s">
        <v>393</v>
      </c>
      <c r="E19" s="12" t="s">
        <v>8</v>
      </c>
      <c r="F19" s="12"/>
    </row>
    <row r="20" customFormat="false" ht="16.5" hidden="false" customHeight="true" outlineLevel="0" collapsed="false">
      <c r="A20" s="11" t="n">
        <v>19</v>
      </c>
      <c r="B20" s="10" t="s">
        <v>394</v>
      </c>
      <c r="C20" s="11" t="s">
        <v>395</v>
      </c>
      <c r="D20" s="11" t="s">
        <v>209</v>
      </c>
      <c r="E20" s="12" t="s">
        <v>8</v>
      </c>
      <c r="F20" s="12"/>
    </row>
    <row r="21" customFormat="false" ht="16.5" hidden="false" customHeight="true" outlineLevel="0" collapsed="false">
      <c r="A21" s="11" t="n">
        <v>20</v>
      </c>
      <c r="B21" s="10" t="s">
        <v>396</v>
      </c>
      <c r="C21" s="11" t="s">
        <v>397</v>
      </c>
      <c r="D21" s="11" t="s">
        <v>398</v>
      </c>
      <c r="E21" s="12" t="s">
        <v>8</v>
      </c>
      <c r="F21" s="12"/>
    </row>
    <row r="22" customFormat="false" ht="16.5" hidden="false" customHeight="true" outlineLevel="0" collapsed="false">
      <c r="A22" s="11" t="n">
        <v>21</v>
      </c>
      <c r="B22" s="10" t="s">
        <v>399</v>
      </c>
      <c r="C22" s="11" t="s">
        <v>400</v>
      </c>
      <c r="D22" s="11" t="s">
        <v>401</v>
      </c>
      <c r="E22" s="12" t="s">
        <v>8</v>
      </c>
      <c r="F22" s="12"/>
    </row>
    <row r="23" customFormat="false" ht="30" hidden="false" customHeight="true" outlineLevel="0" collapsed="false">
      <c r="A23" s="11" t="n">
        <v>22</v>
      </c>
      <c r="B23" s="10" t="s">
        <v>402</v>
      </c>
      <c r="C23" s="11" t="s">
        <v>403</v>
      </c>
      <c r="D23" s="11" t="s">
        <v>404</v>
      </c>
      <c r="E23" s="12" t="s">
        <v>8</v>
      </c>
      <c r="F23" s="12"/>
    </row>
    <row r="24" customFormat="false" ht="16.5" hidden="false" customHeight="true" outlineLevel="0" collapsed="false">
      <c r="A24" s="11" t="n">
        <v>23</v>
      </c>
      <c r="B24" s="10" t="s">
        <v>405</v>
      </c>
      <c r="C24" s="11" t="s">
        <v>406</v>
      </c>
      <c r="D24" s="11" t="s">
        <v>407</v>
      </c>
      <c r="E24" s="12" t="s">
        <v>8</v>
      </c>
      <c r="F24" s="12"/>
    </row>
    <row r="25" customFormat="false" ht="30" hidden="false" customHeight="true" outlineLevel="0" collapsed="false">
      <c r="A25" s="11" t="n">
        <v>24</v>
      </c>
      <c r="B25" s="10" t="s">
        <v>408</v>
      </c>
      <c r="C25" s="11" t="s">
        <v>409</v>
      </c>
      <c r="D25" s="11" t="s">
        <v>257</v>
      </c>
      <c r="E25" s="12" t="s">
        <v>8</v>
      </c>
      <c r="F25" s="12"/>
    </row>
    <row r="26" customFormat="false" ht="16.5" hidden="false" customHeight="true" outlineLevel="0" collapsed="false">
      <c r="A26" s="11" t="n">
        <v>25</v>
      </c>
      <c r="B26" s="10" t="s">
        <v>410</v>
      </c>
      <c r="C26" s="11" t="s">
        <v>411</v>
      </c>
      <c r="D26" s="11" t="s">
        <v>412</v>
      </c>
      <c r="E26" s="12" t="s">
        <v>8</v>
      </c>
      <c r="F26" s="12"/>
    </row>
    <row r="27" customFormat="false" ht="16.5" hidden="false" customHeight="true" outlineLevel="0" collapsed="false">
      <c r="A27" s="11" t="n">
        <v>26</v>
      </c>
      <c r="B27" s="10" t="s">
        <v>413</v>
      </c>
      <c r="C27" s="11" t="s">
        <v>414</v>
      </c>
      <c r="D27" s="11" t="s">
        <v>277</v>
      </c>
      <c r="E27" s="12" t="s">
        <v>8</v>
      </c>
      <c r="F27" s="12"/>
    </row>
    <row r="28" customFormat="false" ht="16.5" hidden="false" customHeight="true" outlineLevel="0" collapsed="false">
      <c r="A28" s="11" t="n">
        <v>27</v>
      </c>
      <c r="B28" s="10" t="s">
        <v>415</v>
      </c>
      <c r="C28" s="11" t="s">
        <v>416</v>
      </c>
      <c r="D28" s="11" t="s">
        <v>417</v>
      </c>
      <c r="E28" s="12" t="s">
        <v>8</v>
      </c>
      <c r="F28" s="12"/>
    </row>
    <row r="29" customFormat="false" ht="16.5" hidden="false" customHeight="true" outlineLevel="0" collapsed="false">
      <c r="A29" s="11" t="n">
        <v>28</v>
      </c>
      <c r="B29" s="10" t="s">
        <v>418</v>
      </c>
      <c r="C29" s="11" t="s">
        <v>419</v>
      </c>
      <c r="D29" s="11" t="s">
        <v>420</v>
      </c>
      <c r="E29" s="12" t="s">
        <v>8</v>
      </c>
      <c r="F29" s="12"/>
    </row>
    <row r="30" customFormat="false" ht="30" hidden="false" customHeight="true" outlineLevel="0" collapsed="false">
      <c r="A30" s="11" t="n">
        <v>29</v>
      </c>
      <c r="B30" s="10" t="s">
        <v>421</v>
      </c>
      <c r="C30" s="11" t="s">
        <v>422</v>
      </c>
      <c r="D30" s="11" t="s">
        <v>423</v>
      </c>
      <c r="E30" s="12" t="s">
        <v>8</v>
      </c>
      <c r="F30" s="12"/>
    </row>
    <row r="31" customFormat="false" ht="16.5" hidden="false" customHeight="true" outlineLevel="0" collapsed="false">
      <c r="A31" s="11" t="n">
        <v>30</v>
      </c>
      <c r="B31" s="10" t="s">
        <v>424</v>
      </c>
      <c r="C31" s="11" t="s">
        <v>425</v>
      </c>
      <c r="D31" s="11" t="s">
        <v>90</v>
      </c>
      <c r="E31" s="12" t="s">
        <v>8</v>
      </c>
      <c r="F31" s="12"/>
    </row>
    <row r="32" customFormat="false" ht="30" hidden="false" customHeight="true" outlineLevel="0" collapsed="false">
      <c r="A32" s="11" t="n">
        <v>31</v>
      </c>
      <c r="B32" s="10" t="s">
        <v>426</v>
      </c>
      <c r="C32" s="11" t="s">
        <v>427</v>
      </c>
      <c r="D32" s="11" t="s">
        <v>41</v>
      </c>
      <c r="E32" s="12" t="s">
        <v>8</v>
      </c>
      <c r="F32" s="12"/>
    </row>
  </sheetData>
  <autoFilter ref="A1:F32"/>
  <conditionalFormatting sqref="E2:E32">
    <cfRule type="expression" priority="2" aboveAverage="0" equalAverage="0" bottom="0" percent="0" rank="0" text="" dxfId="4">
      <formula>$E2="Done"</formula>
    </cfRule>
    <cfRule type="expression" priority="3" aboveAverage="0" equalAverage="0" bottom="0" percent="0" rank="0" text="" dxfId="5">
      <formula>$E2="In progress"</formula>
    </cfRule>
    <cfRule type="expression" priority="4" aboveAverage="0" equalAverage="0" bottom="0" percent="0" rank="0" text="" dxfId="6">
      <formula>$E2="Blocked"</formula>
    </cfRule>
  </conditionalFormatting>
  <dataValidations count="1">
    <dataValidation allowBlank="false" error="Pick a status from the list" errorStyle="stop" operator="between" showDropDown="false" showErrorMessage="false" showInputMessage="false" sqref="E2:E32" type="list">
      <formula1>"To do,In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6" min="5" style="0" width="60"/>
  </cols>
  <sheetData>
    <row r="1" customFormat="false" ht="15" hidden="false" customHeight="false" outlineLevel="0" collapsed="false">
      <c r="A1" s="5" t="s">
        <v>428</v>
      </c>
      <c r="B1" s="5" t="s">
        <v>429</v>
      </c>
      <c r="C1" s="5" t="s">
        <v>430</v>
      </c>
      <c r="D1" s="5" t="s">
        <v>431</v>
      </c>
      <c r="E1" s="5" t="s">
        <v>432</v>
      </c>
      <c r="F1" s="5" t="s">
        <v>433</v>
      </c>
    </row>
    <row r="2" customFormat="false" ht="16.5" hidden="false" customHeight="true" outlineLevel="0" collapsed="false">
      <c r="A2" s="10" t="s">
        <v>67</v>
      </c>
      <c r="B2" s="11" t="s">
        <v>434</v>
      </c>
      <c r="C2" s="11" t="s">
        <v>64</v>
      </c>
      <c r="D2" s="11" t="s">
        <v>435</v>
      </c>
      <c r="E2" s="11" t="s">
        <v>436</v>
      </c>
      <c r="F2" s="11" t="s">
        <v>437</v>
      </c>
    </row>
    <row r="3" customFormat="false" ht="30" hidden="false" customHeight="true" outlineLevel="0" collapsed="false">
      <c r="A3" s="10" t="s">
        <v>100</v>
      </c>
      <c r="B3" s="11" t="s">
        <v>434</v>
      </c>
      <c r="C3" s="11" t="s">
        <v>438</v>
      </c>
      <c r="D3" s="11" t="s">
        <v>439</v>
      </c>
      <c r="E3" s="11" t="s">
        <v>440</v>
      </c>
      <c r="F3" s="11" t="s">
        <v>441</v>
      </c>
    </row>
    <row r="4" customFormat="false" ht="30" hidden="false" customHeight="true" outlineLevel="0" collapsed="false">
      <c r="A4" s="10" t="s">
        <v>105</v>
      </c>
      <c r="B4" s="11" t="s">
        <v>442</v>
      </c>
      <c r="C4" s="11" t="s">
        <v>52</v>
      </c>
      <c r="D4" s="11" t="s">
        <v>443</v>
      </c>
      <c r="E4" s="11" t="s">
        <v>444</v>
      </c>
      <c r="F4" s="11" t="s">
        <v>445</v>
      </c>
    </row>
    <row r="5" customFormat="false" ht="30" hidden="false" customHeight="true" outlineLevel="0" collapsed="false">
      <c r="A5" s="10" t="s">
        <v>116</v>
      </c>
      <c r="B5" s="11" t="s">
        <v>442</v>
      </c>
      <c r="C5" s="11" t="s">
        <v>52</v>
      </c>
      <c r="D5" s="11" t="s">
        <v>446</v>
      </c>
      <c r="E5" s="11" t="s">
        <v>447</v>
      </c>
      <c r="F5" s="11" t="s">
        <v>448</v>
      </c>
    </row>
    <row r="6" customFormat="false" ht="30" hidden="false" customHeight="true" outlineLevel="0" collapsed="false">
      <c r="A6" s="10" t="s">
        <v>81</v>
      </c>
      <c r="B6" s="11" t="s">
        <v>449</v>
      </c>
      <c r="C6" s="11" t="s">
        <v>64</v>
      </c>
      <c r="D6" s="11" t="s">
        <v>450</v>
      </c>
      <c r="E6" s="11" t="s">
        <v>451</v>
      </c>
      <c r="F6" s="11" t="s">
        <v>452</v>
      </c>
    </row>
    <row r="7" customFormat="false" ht="30" hidden="false" customHeight="true" outlineLevel="0" collapsed="false">
      <c r="A7" s="10" t="s">
        <v>304</v>
      </c>
      <c r="B7" s="11" t="s">
        <v>449</v>
      </c>
      <c r="C7" s="11" t="s">
        <v>453</v>
      </c>
      <c r="D7" s="11" t="s">
        <v>454</v>
      </c>
      <c r="E7" s="11" t="s">
        <v>455</v>
      </c>
      <c r="F7" s="11" t="s">
        <v>456</v>
      </c>
    </row>
    <row r="8" customFormat="false" ht="55.5" hidden="false" customHeight="true" outlineLevel="0" collapsed="false">
      <c r="A8" s="10" t="s">
        <v>338</v>
      </c>
      <c r="B8" s="11" t="s">
        <v>457</v>
      </c>
      <c r="C8" s="11" t="s">
        <v>458</v>
      </c>
      <c r="D8" s="11" t="s">
        <v>459</v>
      </c>
      <c r="E8" s="11" t="s">
        <v>460</v>
      </c>
      <c r="F8" s="11" t="s">
        <v>461</v>
      </c>
    </row>
    <row r="9" customFormat="false" ht="16.5" hidden="false" customHeight="true" outlineLevel="0" collapsed="false">
      <c r="A9" s="10" t="s">
        <v>462</v>
      </c>
      <c r="B9" s="11" t="s">
        <v>457</v>
      </c>
      <c r="C9" s="11" t="s">
        <v>52</v>
      </c>
      <c r="D9" s="11" t="s">
        <v>463</v>
      </c>
      <c r="E9" s="11" t="s">
        <v>464</v>
      </c>
      <c r="F9" s="11" t="s">
        <v>465</v>
      </c>
    </row>
    <row r="10" customFormat="false" ht="30" hidden="false" customHeight="true" outlineLevel="0" collapsed="false">
      <c r="A10" s="10" t="s">
        <v>466</v>
      </c>
      <c r="B10" s="11" t="s">
        <v>457</v>
      </c>
      <c r="C10" s="11" t="s">
        <v>131</v>
      </c>
      <c r="D10" s="11" t="s">
        <v>467</v>
      </c>
      <c r="E10" s="11" t="s">
        <v>468</v>
      </c>
      <c r="F10" s="11" t="s">
        <v>469</v>
      </c>
    </row>
    <row r="11" customFormat="false" ht="30" hidden="false" customHeight="true" outlineLevel="0" collapsed="false">
      <c r="A11" s="10" t="s">
        <v>470</v>
      </c>
      <c r="B11" s="11" t="s">
        <v>457</v>
      </c>
      <c r="C11" s="11" t="s">
        <v>471</v>
      </c>
      <c r="D11" s="11" t="s">
        <v>472</v>
      </c>
      <c r="E11" s="11" t="s">
        <v>473</v>
      </c>
      <c r="F11" s="11" t="s">
        <v>474</v>
      </c>
    </row>
    <row r="12" customFormat="false" ht="42.75" hidden="false" customHeight="true" outlineLevel="0" collapsed="false">
      <c r="A12" s="10" t="s">
        <v>254</v>
      </c>
      <c r="B12" s="11" t="s">
        <v>24</v>
      </c>
      <c r="C12" s="11" t="s">
        <v>475</v>
      </c>
      <c r="D12" s="11" t="s">
        <v>476</v>
      </c>
      <c r="E12" s="11" t="s">
        <v>477</v>
      </c>
      <c r="F12" s="11" t="s">
        <v>478</v>
      </c>
    </row>
    <row r="13" customFormat="false" ht="16.5" hidden="false" customHeight="true" outlineLevel="0" collapsed="false">
      <c r="A13" s="10" t="s">
        <v>479</v>
      </c>
      <c r="B13" s="11" t="s">
        <v>457</v>
      </c>
      <c r="C13" s="11" t="s">
        <v>52</v>
      </c>
      <c r="D13" s="11" t="s">
        <v>480</v>
      </c>
      <c r="E13" s="11" t="s">
        <v>481</v>
      </c>
      <c r="F13" s="11" t="s">
        <v>482</v>
      </c>
    </row>
    <row r="14" customFormat="false" ht="30" hidden="false" customHeight="true" outlineLevel="0" collapsed="false">
      <c r="A14" s="10" t="s">
        <v>483</v>
      </c>
      <c r="B14" s="11" t="s">
        <v>484</v>
      </c>
      <c r="C14" s="11" t="s">
        <v>49</v>
      </c>
      <c r="D14" s="11" t="s">
        <v>485</v>
      </c>
      <c r="E14" s="11" t="s">
        <v>486</v>
      </c>
      <c r="F14" s="11" t="s">
        <v>487</v>
      </c>
    </row>
    <row r="15" customFormat="false" ht="30" hidden="false" customHeight="true" outlineLevel="0" collapsed="false">
      <c r="A15" s="10" t="s">
        <v>488</v>
      </c>
      <c r="B15" s="11" t="s">
        <v>484</v>
      </c>
      <c r="C15" s="11" t="s">
        <v>49</v>
      </c>
      <c r="D15" s="11" t="s">
        <v>489</v>
      </c>
      <c r="E15" s="11" t="s">
        <v>490</v>
      </c>
      <c r="F15" s="11" t="s">
        <v>491</v>
      </c>
    </row>
    <row r="16" customFormat="false" ht="16.5" hidden="false" customHeight="true" outlineLevel="0" collapsed="false">
      <c r="A16" s="10" t="s">
        <v>492</v>
      </c>
      <c r="B16" s="11" t="s">
        <v>484</v>
      </c>
      <c r="C16" s="11" t="s">
        <v>64</v>
      </c>
      <c r="D16" s="11" t="s">
        <v>493</v>
      </c>
      <c r="E16" s="11" t="s">
        <v>494</v>
      </c>
      <c r="F16" s="11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5" t="s">
        <v>496</v>
      </c>
      <c r="B1" s="5" t="s">
        <v>64</v>
      </c>
      <c r="C1" s="5" t="s">
        <v>52</v>
      </c>
      <c r="D1" s="5" t="s">
        <v>138</v>
      </c>
    </row>
    <row r="2" customFormat="false" ht="16.5" hidden="false" customHeight="true" outlineLevel="0" collapsed="false">
      <c r="A2" s="11" t="s">
        <v>497</v>
      </c>
      <c r="B2" s="11" t="s">
        <v>498</v>
      </c>
      <c r="C2" s="11" t="s">
        <v>49</v>
      </c>
      <c r="D2" s="11" t="s">
        <v>49</v>
      </c>
    </row>
    <row r="3" customFormat="false" ht="16.5" hidden="false" customHeight="true" outlineLevel="0" collapsed="false">
      <c r="A3" s="11" t="s">
        <v>499</v>
      </c>
      <c r="B3" s="11" t="s">
        <v>498</v>
      </c>
      <c r="C3" s="11" t="s">
        <v>500</v>
      </c>
      <c r="D3" s="11" t="s">
        <v>500</v>
      </c>
    </row>
    <row r="4" customFormat="false" ht="16.5" hidden="false" customHeight="true" outlineLevel="0" collapsed="false">
      <c r="A4" s="11" t="s">
        <v>501</v>
      </c>
      <c r="B4" s="11" t="s">
        <v>498</v>
      </c>
      <c r="C4" s="11" t="s">
        <v>502</v>
      </c>
      <c r="D4" s="11" t="s">
        <v>49</v>
      </c>
    </row>
    <row r="5" customFormat="false" ht="16.5" hidden="false" customHeight="true" outlineLevel="0" collapsed="false">
      <c r="A5" s="11" t="s">
        <v>503</v>
      </c>
      <c r="B5" s="11" t="s">
        <v>504</v>
      </c>
      <c r="C5" s="11" t="s">
        <v>502</v>
      </c>
      <c r="D5" s="11" t="s">
        <v>49</v>
      </c>
    </row>
    <row r="6" customFormat="false" ht="16.5" hidden="false" customHeight="true" outlineLevel="0" collapsed="false">
      <c r="A6" s="11" t="s">
        <v>505</v>
      </c>
      <c r="B6" s="11" t="s">
        <v>504</v>
      </c>
      <c r="C6" s="11" t="s">
        <v>502</v>
      </c>
      <c r="D6" s="11" t="s">
        <v>49</v>
      </c>
    </row>
    <row r="7" customFormat="false" ht="16.5" hidden="false" customHeight="true" outlineLevel="0" collapsed="false">
      <c r="A7" s="11" t="s">
        <v>506</v>
      </c>
      <c r="B7" s="11" t="s">
        <v>507</v>
      </c>
      <c r="C7" s="11" t="s">
        <v>508</v>
      </c>
      <c r="D7" s="11" t="s">
        <v>49</v>
      </c>
    </row>
    <row r="8" customFormat="false" ht="16.5" hidden="false" customHeight="true" outlineLevel="0" collapsed="false">
      <c r="A8" s="11" t="s">
        <v>509</v>
      </c>
      <c r="B8" s="11" t="s">
        <v>507</v>
      </c>
      <c r="C8" s="11" t="s">
        <v>508</v>
      </c>
      <c r="D8" s="11" t="s">
        <v>510</v>
      </c>
    </row>
    <row r="9" customFormat="false" ht="16.5" hidden="false" customHeight="true" outlineLevel="0" collapsed="false">
      <c r="A9" s="11" t="s">
        <v>511</v>
      </c>
      <c r="B9" s="11" t="s">
        <v>507</v>
      </c>
      <c r="C9" s="11" t="s">
        <v>508</v>
      </c>
      <c r="D9" s="11" t="s">
        <v>49</v>
      </c>
    </row>
    <row r="10" customFormat="false" ht="16.5" hidden="false" customHeight="true" outlineLevel="0" collapsed="false">
      <c r="A10" s="11" t="s">
        <v>512</v>
      </c>
      <c r="B10" s="11" t="s">
        <v>49</v>
      </c>
      <c r="C10" s="11" t="s">
        <v>49</v>
      </c>
      <c r="D10" s="11" t="s">
        <v>504</v>
      </c>
    </row>
    <row r="11" customFormat="false" ht="16.5" hidden="false" customHeight="true" outlineLevel="0" collapsed="false">
      <c r="A11" s="11" t="s">
        <v>513</v>
      </c>
      <c r="B11" s="11" t="s">
        <v>504</v>
      </c>
      <c r="C11" s="11" t="s">
        <v>514</v>
      </c>
      <c r="D11" s="11" t="s">
        <v>49</v>
      </c>
    </row>
    <row r="12" customFormat="false" ht="16.5" hidden="false" customHeight="true" outlineLevel="0" collapsed="false">
      <c r="A12" s="11" t="s">
        <v>515</v>
      </c>
      <c r="B12" s="11" t="s">
        <v>504</v>
      </c>
      <c r="C12" s="11" t="s">
        <v>514</v>
      </c>
      <c r="D12" s="11" t="s">
        <v>516</v>
      </c>
    </row>
    <row r="13" customFormat="false" ht="16.5" hidden="false" customHeight="true" outlineLevel="0" collapsed="false">
      <c r="A13" s="11" t="s">
        <v>517</v>
      </c>
      <c r="B13" s="11" t="s">
        <v>504</v>
      </c>
      <c r="C13" s="11" t="s">
        <v>514</v>
      </c>
      <c r="D13" s="11" t="s">
        <v>49</v>
      </c>
    </row>
    <row r="14" customFormat="false" ht="16.5" hidden="false" customHeight="true" outlineLevel="0" collapsed="false">
      <c r="A14" s="11" t="s">
        <v>518</v>
      </c>
      <c r="B14" s="11" t="s">
        <v>504</v>
      </c>
      <c r="C14" s="11" t="s">
        <v>519</v>
      </c>
      <c r="D14" s="11" t="s">
        <v>520</v>
      </c>
    </row>
    <row r="15" customFormat="false" ht="16.5" hidden="false" customHeight="true" outlineLevel="0" collapsed="false">
      <c r="A15" s="11" t="s">
        <v>521</v>
      </c>
      <c r="B15" s="11" t="s">
        <v>504</v>
      </c>
      <c r="C15" s="11" t="s">
        <v>522</v>
      </c>
      <c r="D15" s="11" t="s">
        <v>49</v>
      </c>
    </row>
    <row r="16" customFormat="false" ht="16.5" hidden="false" customHeight="true" outlineLevel="0" collapsed="false">
      <c r="A16" s="11" t="s">
        <v>523</v>
      </c>
      <c r="B16" s="11" t="s">
        <v>524</v>
      </c>
      <c r="C16" s="11" t="s">
        <v>514</v>
      </c>
      <c r="D16" s="1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5" t="s">
        <v>525</v>
      </c>
      <c r="B1" s="5" t="s">
        <v>526</v>
      </c>
      <c r="C1" s="5" t="s">
        <v>527</v>
      </c>
      <c r="D1" s="5" t="s">
        <v>528</v>
      </c>
      <c r="E1" s="5" t="s">
        <v>529</v>
      </c>
      <c r="F1" s="5" t="s">
        <v>530</v>
      </c>
    </row>
    <row r="2" customFormat="false" ht="16.5" hidden="false" customHeight="true" outlineLevel="0" collapsed="false">
      <c r="A2" s="10" t="s">
        <v>531</v>
      </c>
      <c r="B2" s="11" t="s">
        <v>532</v>
      </c>
      <c r="C2" s="11" t="s">
        <v>533</v>
      </c>
      <c r="D2" s="11" t="s">
        <v>49</v>
      </c>
      <c r="E2" s="11" t="s">
        <v>534</v>
      </c>
      <c r="F2" s="11" t="s">
        <v>535</v>
      </c>
    </row>
    <row r="3" customFormat="false" ht="30" hidden="false" customHeight="true" outlineLevel="0" collapsed="false">
      <c r="A3" s="10" t="s">
        <v>536</v>
      </c>
      <c r="B3" s="11" t="s">
        <v>537</v>
      </c>
      <c r="C3" s="11" t="s">
        <v>533</v>
      </c>
      <c r="D3" s="11" t="s">
        <v>538</v>
      </c>
      <c r="E3" s="11" t="s">
        <v>539</v>
      </c>
      <c r="F3" s="11" t="s">
        <v>540</v>
      </c>
    </row>
    <row r="4" customFormat="false" ht="16.5" hidden="false" customHeight="true" outlineLevel="0" collapsed="false">
      <c r="A4" s="10" t="s">
        <v>541</v>
      </c>
      <c r="B4" s="11" t="s">
        <v>542</v>
      </c>
      <c r="C4" s="11" t="s">
        <v>543</v>
      </c>
      <c r="D4" s="11" t="s">
        <v>504</v>
      </c>
      <c r="E4" s="13" t="s">
        <v>544</v>
      </c>
      <c r="F4" s="11" t="s">
        <v>545</v>
      </c>
    </row>
    <row r="5" customFormat="false" ht="30" hidden="false" customHeight="true" outlineLevel="0" collapsed="false">
      <c r="A5" s="10" t="s">
        <v>546</v>
      </c>
      <c r="B5" s="11" t="s">
        <v>547</v>
      </c>
      <c r="C5" s="11" t="s">
        <v>131</v>
      </c>
      <c r="D5" s="11" t="s">
        <v>49</v>
      </c>
      <c r="E5" s="11" t="s">
        <v>548</v>
      </c>
      <c r="F5" s="11" t="s">
        <v>549</v>
      </c>
    </row>
    <row r="6" customFormat="false" ht="30" hidden="false" customHeight="true" outlineLevel="0" collapsed="false">
      <c r="A6" s="10" t="s">
        <v>550</v>
      </c>
      <c r="B6" s="11" t="s">
        <v>551</v>
      </c>
      <c r="C6" s="11" t="s">
        <v>533</v>
      </c>
      <c r="D6" s="11" t="s">
        <v>552</v>
      </c>
      <c r="E6" s="14" t="s">
        <v>553</v>
      </c>
      <c r="F6" s="11" t="s">
        <v>554</v>
      </c>
    </row>
    <row r="7" customFormat="false" ht="30" hidden="false" customHeight="true" outlineLevel="0" collapsed="false">
      <c r="A7" s="10" t="s">
        <v>555</v>
      </c>
      <c r="B7" s="11" t="s">
        <v>556</v>
      </c>
      <c r="C7" s="11" t="s">
        <v>557</v>
      </c>
      <c r="D7" s="11" t="s">
        <v>552</v>
      </c>
      <c r="E7" s="11" t="s">
        <v>558</v>
      </c>
      <c r="F7" s="11" t="s">
        <v>559</v>
      </c>
    </row>
    <row r="8" customFormat="false" ht="16.5" hidden="false" customHeight="true" outlineLevel="0" collapsed="false">
      <c r="A8" s="10" t="s">
        <v>560</v>
      </c>
      <c r="B8" s="11" t="s">
        <v>561</v>
      </c>
      <c r="C8" s="11" t="s">
        <v>557</v>
      </c>
      <c r="D8" s="11" t="s">
        <v>552</v>
      </c>
      <c r="E8" s="11" t="s">
        <v>562</v>
      </c>
      <c r="F8" s="11" t="s">
        <v>563</v>
      </c>
    </row>
    <row r="9" customFormat="false" ht="30" hidden="false" customHeight="true" outlineLevel="0" collapsed="false">
      <c r="A9" s="10" t="s">
        <v>564</v>
      </c>
      <c r="B9" s="11" t="s">
        <v>565</v>
      </c>
      <c r="C9" s="11" t="s">
        <v>557</v>
      </c>
      <c r="D9" s="11" t="s">
        <v>566</v>
      </c>
      <c r="E9" s="13" t="s">
        <v>544</v>
      </c>
      <c r="F9" s="11" t="s">
        <v>567</v>
      </c>
    </row>
    <row r="10" customFormat="false" ht="16.5" hidden="false" customHeight="true" outlineLevel="0" collapsed="false">
      <c r="A10" s="10" t="s">
        <v>568</v>
      </c>
      <c r="B10" s="11" t="s">
        <v>532</v>
      </c>
      <c r="C10" s="11" t="s">
        <v>557</v>
      </c>
      <c r="D10" s="11" t="s">
        <v>49</v>
      </c>
      <c r="E10" s="11" t="s">
        <v>534</v>
      </c>
      <c r="F10" s="11" t="s">
        <v>569</v>
      </c>
    </row>
    <row r="11" customFormat="false" ht="30" hidden="false" customHeight="true" outlineLevel="0" collapsed="false">
      <c r="A11" s="10" t="s">
        <v>570</v>
      </c>
      <c r="B11" s="11" t="s">
        <v>571</v>
      </c>
      <c r="C11" s="11" t="s">
        <v>557</v>
      </c>
      <c r="D11" s="11" t="s">
        <v>572</v>
      </c>
      <c r="E11" s="13" t="s">
        <v>544</v>
      </c>
      <c r="F11" s="11" t="s">
        <v>573</v>
      </c>
    </row>
    <row r="12" customFormat="false" ht="30" hidden="false" customHeight="true" outlineLevel="0" collapsed="false">
      <c r="A12" s="10" t="s">
        <v>574</v>
      </c>
      <c r="B12" s="11" t="s">
        <v>575</v>
      </c>
      <c r="C12" s="11" t="s">
        <v>576</v>
      </c>
      <c r="D12" s="11" t="s">
        <v>552</v>
      </c>
      <c r="E12" s="11" t="s">
        <v>562</v>
      </c>
      <c r="F12" s="11" t="s">
        <v>577</v>
      </c>
    </row>
    <row r="13" customFormat="false" ht="16.5" hidden="false" customHeight="true" outlineLevel="0" collapsed="false">
      <c r="A13" s="10" t="s">
        <v>578</v>
      </c>
      <c r="B13" s="11" t="s">
        <v>304</v>
      </c>
      <c r="C13" s="11" t="s">
        <v>131</v>
      </c>
      <c r="D13" s="11" t="s">
        <v>579</v>
      </c>
      <c r="E13" s="11" t="s">
        <v>562</v>
      </c>
      <c r="F13" s="11" t="s">
        <v>580</v>
      </c>
    </row>
    <row r="14" customFormat="false" ht="16.5" hidden="false" customHeight="true" outlineLevel="0" collapsed="false">
      <c r="A14" s="10" t="s">
        <v>581</v>
      </c>
      <c r="B14" s="11" t="s">
        <v>254</v>
      </c>
      <c r="C14" s="11" t="s">
        <v>131</v>
      </c>
      <c r="D14" s="11" t="s">
        <v>504</v>
      </c>
      <c r="E14" s="13" t="s">
        <v>544</v>
      </c>
      <c r="F14" s="11" t="s">
        <v>582</v>
      </c>
    </row>
    <row r="15" customFormat="false" ht="16.5" hidden="false" customHeight="true" outlineLevel="0" collapsed="false">
      <c r="A15" s="10" t="s">
        <v>583</v>
      </c>
      <c r="B15" s="11" t="s">
        <v>584</v>
      </c>
      <c r="C15" s="11" t="s">
        <v>585</v>
      </c>
      <c r="D15" s="11" t="s">
        <v>566</v>
      </c>
      <c r="E15" s="13" t="s">
        <v>544</v>
      </c>
      <c r="F15" s="11" t="s">
        <v>586</v>
      </c>
    </row>
    <row r="16" customFormat="false" ht="16.5" hidden="false" customHeight="true" outlineLevel="0" collapsed="false">
      <c r="A16" s="10" t="s">
        <v>587</v>
      </c>
      <c r="B16" s="11" t="s">
        <v>588</v>
      </c>
      <c r="C16" s="11" t="s">
        <v>131</v>
      </c>
      <c r="D16" s="11" t="s">
        <v>49</v>
      </c>
      <c r="E16" s="11" t="s">
        <v>534</v>
      </c>
      <c r="F16" s="11" t="s">
        <v>49</v>
      </c>
    </row>
    <row r="17" customFormat="false" ht="30" hidden="false" customHeight="true" outlineLevel="0" collapsed="false">
      <c r="A17" s="10" t="s">
        <v>589</v>
      </c>
      <c r="B17" s="11" t="s">
        <v>590</v>
      </c>
      <c r="C17" s="11" t="s">
        <v>591</v>
      </c>
      <c r="D17" s="11" t="s">
        <v>552</v>
      </c>
      <c r="E17" s="11" t="s">
        <v>562</v>
      </c>
      <c r="F17" s="11" t="s">
        <v>592</v>
      </c>
    </row>
    <row r="18" customFormat="false" ht="30" hidden="false" customHeight="true" outlineLevel="0" collapsed="false">
      <c r="A18" s="10" t="s">
        <v>593</v>
      </c>
      <c r="B18" s="11" t="s">
        <v>594</v>
      </c>
      <c r="C18" s="11" t="s">
        <v>533</v>
      </c>
      <c r="D18" s="11" t="s">
        <v>552</v>
      </c>
      <c r="E18" s="14" t="s">
        <v>595</v>
      </c>
      <c r="F18" s="11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2026-09-27T07:52:16Z</dcterms:created>
  <dc:creator>openpyxl</dc:creator>
  <dc:description/>
  <dc:language>en-US</dc:language>
  <cp:lastModifiedBy/>
  <dcterms:modified xsi:type="dcterms:W3CDTF">2026-09-27T07:52:16Z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